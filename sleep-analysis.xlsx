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waseem/Downloads/"/>
    </mc:Choice>
  </mc:AlternateContent>
  <xr:revisionPtr revIDLastSave="0" documentId="13_ncr:1_{83A6530A-0D08-E44C-A84A-FB69A186A797}" xr6:coauthVersionLast="47" xr6:coauthVersionMax="47" xr10:uidLastSave="{00000000-0000-0000-0000-000000000000}"/>
  <bookViews>
    <workbookView xWindow="0" yWindow="0" windowWidth="28800" windowHeight="18000" firstSheet="1" activeTab="10" xr2:uid="{00000000-000D-0000-FFFF-FFFF00000000}"/>
  </bookViews>
  <sheets>
    <sheet name="Form Responses 1" sheetId="1" r:id="rId1"/>
    <sheet name="DESCRIPTIVE ANALYSIS" sheetId="2" r:id="rId2"/>
    <sheet name="PROBABILITY" sheetId="3" r:id="rId3"/>
    <sheet name="DISTRIBUTIONS" sheetId="4" r:id="rId4"/>
    <sheet name="HYPOTHESIS" sheetId="14" r:id="rId5"/>
    <sheet name="CORREALATION" sheetId="13" r:id="rId6"/>
    <sheet name="REGRESSION SUMMARY" sheetId="20" r:id="rId7"/>
    <sheet name="SCATTER CHART" sheetId="10" r:id="rId8"/>
    <sheet name="PIVOT TABLE" sheetId="6" r:id="rId9"/>
    <sheet name="HISTOGRAM" sheetId="7" r:id="rId10"/>
    <sheet name="BAR CHART" sheetId="8" r:id="rId11"/>
  </sheets>
  <definedNames>
    <definedName name="_xlchart.v1.0" hidden="1">HISTOGRAM!$A$1</definedName>
    <definedName name="_xlchart.v1.1" hidden="1">HISTOGRAM!$A$2:$A$61</definedName>
  </definedNames>
  <calcPr calcId="191028"/>
  <pivotCaches>
    <pivotCache cacheId="2"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B8" i="14" s="1"/>
  <c r="B11" i="14" s="1"/>
  <c r="B12" i="14"/>
  <c r="B17" i="14" s="1"/>
  <c r="B5" i="13"/>
  <c r="B4" i="13"/>
  <c r="B3" i="13"/>
  <c r="B2" i="13"/>
  <c r="B16" i="14" l="1"/>
  <c r="A13" i="3" l="1"/>
  <c r="E10" i="10"/>
  <c r="E9" i="10"/>
  <c r="E8" i="10"/>
  <c r="E7" i="10"/>
  <c r="E6" i="10"/>
  <c r="E5" i="10"/>
  <c r="E4" i="10"/>
  <c r="E3" i="10"/>
  <c r="E2" i="10"/>
  <c r="E14" i="8"/>
  <c r="E13" i="8"/>
  <c r="E12" i="8"/>
  <c r="E11" i="8"/>
  <c r="E10" i="8"/>
  <c r="E9" i="8"/>
  <c r="E8" i="8"/>
  <c r="E7" i="8"/>
  <c r="E6" i="8"/>
  <c r="E5" i="8"/>
  <c r="E4" i="8"/>
  <c r="E3" i="8"/>
  <c r="E2" i="8"/>
  <c r="A14" i="4" l="1"/>
  <c r="A4" i="3"/>
  <c r="F7" i="2"/>
  <c r="F6" i="2"/>
  <c r="F5" i="2"/>
  <c r="F4" i="2"/>
  <c r="F3" i="2"/>
  <c r="F2" i="2"/>
  <c r="B3" i="2"/>
  <c r="E6" i="2"/>
  <c r="E4" i="2"/>
  <c r="E3" i="2"/>
  <c r="E7" i="2"/>
  <c r="D7" i="2"/>
  <c r="C7" i="2"/>
  <c r="B7" i="2"/>
  <c r="D6" i="2"/>
  <c r="C6" i="2"/>
  <c r="E5" i="2"/>
  <c r="D5" i="2"/>
  <c r="D4" i="2"/>
  <c r="D3" i="2"/>
  <c r="D2" i="2"/>
  <c r="C5" i="2"/>
  <c r="C4" i="2"/>
  <c r="C3" i="2"/>
  <c r="C2" i="2"/>
  <c r="B6" i="2"/>
  <c r="B5" i="2"/>
  <c r="B4" i="2"/>
  <c r="B2" i="2"/>
  <c r="A5" i="4" l="1"/>
  <c r="B7" i="14"/>
  <c r="D16" i="14" l="1"/>
  <c r="D17" i="14"/>
  <c r="B13" i="14"/>
  <c r="B18" i="14" s="1"/>
  <c r="A19" i="14" s="1"/>
</calcChain>
</file>

<file path=xl/sharedStrings.xml><?xml version="1.0" encoding="utf-8"?>
<sst xmlns="http://schemas.openxmlformats.org/spreadsheetml/2006/main" count="377" uniqueCount="124">
  <si>
    <t>AGE</t>
  </si>
  <si>
    <t>EMPLOYMENT</t>
  </si>
  <si>
    <t>HOURS OF SLEEP</t>
  </si>
  <si>
    <t>CAFFEINE INTAKE (Oz)</t>
  </si>
  <si>
    <t>BALANCED DIET</t>
  </si>
  <si>
    <t>DIET EFFECT</t>
  </si>
  <si>
    <t>WORKOUT VOLUME (DAYS/WEEK)</t>
  </si>
  <si>
    <t>TIME USED TECH (MIN)</t>
  </si>
  <si>
    <t>TIME UNDER STRESS (DAYS/WEEK)</t>
  </si>
  <si>
    <t>STRESS AFFECTED SLEEP</t>
  </si>
  <si>
    <t>TIME UNDER REST (DAYS/WEEK)</t>
  </si>
  <si>
    <t>Yes</t>
  </si>
  <si>
    <t>No</t>
  </si>
  <si>
    <t>Variable</t>
  </si>
  <si>
    <t>Mean</t>
  </si>
  <si>
    <t>Median</t>
  </si>
  <si>
    <t>Mode</t>
  </si>
  <si>
    <t>Std Dev</t>
  </si>
  <si>
    <t>Variance</t>
  </si>
  <si>
    <t>SleepHours</t>
  </si>
  <si>
    <t>TechMinutes</t>
  </si>
  <si>
    <t>WorkoutDays</t>
  </si>
  <si>
    <t>StressDays</t>
  </si>
  <si>
    <t>RelaxDays</t>
  </si>
  <si>
    <t>CaffieneIntake</t>
  </si>
  <si>
    <t>Interpertation</t>
  </si>
  <si>
    <t>Descriptive analysis- has all the different variables that explains everything that is being tested. The mean shows the average results of each variable tested which helps us see a general picture. It shows the median, mean, mode, standard deviation, variance. </t>
  </si>
  <si>
    <t>SIMPLE PROBABILITY</t>
  </si>
  <si>
    <t>Probability of students who sleep more than 7 Hours:</t>
  </si>
  <si>
    <t>46.67% of students sleep enough everynight.</t>
  </si>
  <si>
    <t>CONDITIONAL PROBABILITY</t>
  </si>
  <si>
    <t>Probability a student sleeps at least 7 hours given that they drink caffeine.</t>
  </si>
  <si>
    <t>58% of students sleep at least 7 hours given they consume caffiene.</t>
  </si>
  <si>
    <t xml:space="preserve">Interperation- </t>
  </si>
  <si>
    <t>Probability- has the difference between simple probability and conditional probability. It’s the probability of students who sleep more than 7 hours and students who sleep at least 7 hours if they drink caffeine. Simple probability is testing one event whereas conditional is testing only if event A has occurred that another event will occur.</t>
  </si>
  <si>
    <t>NORMAL DISTRIBUTION</t>
  </si>
  <si>
    <t>Probability of students who sleep less than 7 hours.</t>
  </si>
  <si>
    <t>About 66.8% of students sleep under 7 hours.</t>
  </si>
  <si>
    <t>DISCRETE DISTRIBUTION</t>
  </si>
  <si>
    <t>Probability of students who use technology for more than 2 hours.</t>
  </si>
  <si>
    <t>5% of students use technology use technology more than 2 hours in a day.</t>
  </si>
  <si>
    <t>Interperation-</t>
  </si>
  <si>
    <t>Distributions- this describes the likelihood of something. In our chart it describes normal distribution and discrete distribution. The students who sleep less than 7 hours and students who use technology more than 2 hours. </t>
  </si>
  <si>
    <t>T-Test For the Mean</t>
  </si>
  <si>
    <t>Data</t>
  </si>
  <si>
    <r>
      <t xml:space="preserve">Null Hypothesis                  </t>
    </r>
    <r>
      <rPr>
        <b/>
        <sz val="14"/>
        <rFont val="Symbol"/>
        <family val="1"/>
        <charset val="2"/>
      </rPr>
      <t>m</t>
    </r>
    <r>
      <rPr>
        <sz val="14"/>
        <rFont val="Calibri"/>
        <family val="2"/>
      </rPr>
      <t>=</t>
    </r>
  </si>
  <si>
    <t>Level of Significance</t>
  </si>
  <si>
    <t>Sample Size</t>
  </si>
  <si>
    <t>Sample Mean</t>
  </si>
  <si>
    <t>Sample Standard Deviation</t>
  </si>
  <si>
    <t>Intermediate Calculations</t>
  </si>
  <si>
    <t>Standard Error of the Mean</t>
  </si>
  <si>
    <t>Degrees of Freedom</t>
  </si>
  <si>
    <r>
      <t>t</t>
    </r>
    <r>
      <rPr>
        <sz val="14"/>
        <rFont val="Calibri"/>
        <family val="2"/>
      </rPr>
      <t xml:space="preserve"> Test Statistic</t>
    </r>
  </si>
  <si>
    <t>Two-Tail Test</t>
  </si>
  <si>
    <t>Confidence Interval Estimate</t>
  </si>
  <si>
    <t>Lower Critical Value</t>
  </si>
  <si>
    <t>Lower CI Limit</t>
  </si>
  <si>
    <t>Upper Critical Value</t>
  </si>
  <si>
    <t>Upper CI Limit</t>
  </si>
  <si>
    <r>
      <t>p</t>
    </r>
    <r>
      <rPr>
        <b/>
        <sz val="14"/>
        <color theme="0"/>
        <rFont val="Calibri"/>
        <family val="2"/>
      </rPr>
      <t>-Value</t>
    </r>
  </si>
  <si>
    <t xml:space="preserve">Interperatation- Hypothesis- this is testing the mean, it tests between two different variables in the study. The hypothesis is compared to the population of the research, it tests a statistic. </t>
  </si>
  <si>
    <t>VARIABLES</t>
  </si>
  <si>
    <t>CORREALATION (r)</t>
  </si>
  <si>
    <t>INTERPRETATION</t>
  </si>
  <si>
    <t>Sleep vs Tech Minutes</t>
  </si>
  <si>
    <t>There seems to be no relationship between sleep and time used tech.</t>
  </si>
  <si>
    <t>Sleep vs Caffiene Intake</t>
  </si>
  <si>
    <t>Caffeine consumption does not show correlation with sleep .</t>
  </si>
  <si>
    <t>Sleep vs Time under Stress</t>
  </si>
  <si>
    <t>Higher stress days show a weak  relationship with sleep hours so they may be associated with reduced sleep.</t>
  </si>
  <si>
    <t>Sleep vs Workout Days</t>
  </si>
  <si>
    <t>Exercise amount does not show a relationship with sleep.</t>
  </si>
  <si>
    <t>Correlation- it shows the strength of the different variables. This chart is showing sleep versus’, technology time, caffeine intake, time under stress, and workout days. The different variables show if they have a correlation or not. </t>
  </si>
  <si>
    <t>SUMMARY OUTPUT</t>
  </si>
  <si>
    <t>Regression Statistics</t>
  </si>
  <si>
    <t>Multiple R</t>
  </si>
  <si>
    <t>THE REGRESSION EQUATION IS:</t>
  </si>
  <si>
    <t>Sleep Time = 6.46214 +0.00543 (Oz of caffiene)</t>
  </si>
  <si>
    <t>R Square</t>
  </si>
  <si>
    <t>Adjusted R Square</t>
  </si>
  <si>
    <t>Standard Error</t>
  </si>
  <si>
    <t>Observations</t>
  </si>
  <si>
    <t>ANOVA</t>
  </si>
  <si>
    <t>df</t>
  </si>
  <si>
    <t>SS</t>
  </si>
  <si>
    <t>MS</t>
  </si>
  <si>
    <t>F</t>
  </si>
  <si>
    <t>Significance F</t>
  </si>
  <si>
    <t xml:space="preserve">Interperatation- </t>
  </si>
  <si>
    <t>Regression</t>
  </si>
  <si>
    <t>Regression summary- it shows how well they will predict the outcome and if any of the variables. It's testing the amount of sleep vs. how much caffeine you are drinking. The highest amount of caffeine intake is between 5- 10 ounces a day on the residual chart. </t>
  </si>
  <si>
    <t>Residual</t>
  </si>
  <si>
    <t>Total</t>
  </si>
  <si>
    <t>Coefficients</t>
  </si>
  <si>
    <t>t Stat</t>
  </si>
  <si>
    <t>P-value</t>
  </si>
  <si>
    <t>Lower 95%</t>
  </si>
  <si>
    <t>Upper 95%</t>
  </si>
  <si>
    <t>Lower 95.0%</t>
  </si>
  <si>
    <t>Upper 95.0%</t>
  </si>
  <si>
    <t>Intercept</t>
  </si>
  <si>
    <t>RESIDUAL OUTPUT</t>
  </si>
  <si>
    <t>PROBABILITY OUTPUT</t>
  </si>
  <si>
    <t>Observation</t>
  </si>
  <si>
    <t>Predicted HOURS OF SLEEP</t>
  </si>
  <si>
    <t>Residuals</t>
  </si>
  <si>
    <t>Standard Residuals</t>
  </si>
  <si>
    <t>Percentile</t>
  </si>
  <si>
    <t>CAFFIENE INTAKE (Oz)</t>
  </si>
  <si>
    <t>Hours of Sleep</t>
  </si>
  <si>
    <t>Average Caffeine Intake (Oz)</t>
  </si>
  <si>
    <t xml:space="preserve">Scatter chart- its a visual representation of the students caffeine intake vs. hours of sleep. It helps show how much caffeine really does affect your sleep habits. The visual of it is very scattered. The more amount of sleep someone gets the less amount of caffeine they drink. </t>
  </si>
  <si>
    <t>Emplyment vs Stress Affecting Sleep</t>
  </si>
  <si>
    <t>Employment</t>
  </si>
  <si>
    <t>Stress Affected Sleep</t>
  </si>
  <si>
    <t>Grand Total</t>
  </si>
  <si>
    <t>Pivot table- Its employment vs sleep 60 people surveyed the largest majority of them positive correlation and employment and stress affecting their sleep. This pivot table  tests employment versus stress affecting your sleep schedule, stress affecting sleep is 45 average whilst the other parts of the chart are low numbers. </t>
  </si>
  <si>
    <t>Histogram- this is also another visualization chart. This determines the frequency of many many hours of sleep people normally get. This histogram tests the amount of participants and the hours of sleep people normally get. The highest number of hours is 6 to 7 hours. </t>
  </si>
  <si>
    <t>Age</t>
  </si>
  <si>
    <t>Average Caffeine</t>
  </si>
  <si>
    <t>Interperatation-</t>
  </si>
  <si>
    <t>Bar chart- Another visualization of how much people drink caffeine and their age. It is to see a pattern in the study. It is testing the age of the participants versus the amount of caffeine they intake. The highest was the participant who was 42 who drinks over 20 ounces a day.</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</si>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</sst>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0000"/>
  </numFmts>
  <fonts count="22" x14ac:knownFonts="1">
    <font>
      <sz val="10"/>
      <color rgb="FF000000"/>
      <name val="Arial"/>
      <scheme val="minor"/>
    </font>
    <font>
      <sz val="10"/>
      <color theme="1"/>
      <name val="Arial"/>
      <family val="2"/>
      <scheme val="minor"/>
    </font>
    <font>
      <b/>
      <u/>
      <sz val="10"/>
      <color theme="1"/>
      <name val="Arial"/>
      <family val="2"/>
      <scheme val="minor"/>
    </font>
    <font>
      <b/>
      <sz val="15"/>
      <color rgb="FF000000"/>
      <name val="Arial"/>
      <family val="2"/>
      <scheme val="minor"/>
    </font>
    <font>
      <sz val="15"/>
      <color rgb="FF000000"/>
      <name val="Arial"/>
      <family val="2"/>
      <scheme val="minor"/>
    </font>
    <font>
      <sz val="15"/>
      <color rgb="FF000000"/>
      <name val="Arial (Body)"/>
    </font>
    <font>
      <b/>
      <sz val="15"/>
      <color rgb="FF000000"/>
      <name val="Arial (Body)"/>
    </font>
    <font>
      <b/>
      <u/>
      <sz val="12"/>
      <color rgb="FF000000"/>
      <name val="Arial"/>
      <family val="2"/>
      <scheme val="minor"/>
    </font>
    <font>
      <sz val="10"/>
      <color rgb="FF000000"/>
      <name val="Arial"/>
      <family val="2"/>
      <scheme val="minor"/>
    </font>
    <font>
      <b/>
      <sz val="14"/>
      <name val="Arial"/>
      <family val="2"/>
      <scheme val="minor"/>
    </font>
    <font>
      <sz val="14"/>
      <name val="Arial"/>
      <family val="2"/>
      <scheme val="minor"/>
    </font>
    <font>
      <b/>
      <sz val="14"/>
      <name val="Symbol"/>
      <family val="1"/>
      <charset val="2"/>
    </font>
    <font>
      <sz val="14"/>
      <name val="Calibri"/>
      <family val="2"/>
    </font>
    <font>
      <i/>
      <sz val="14"/>
      <name val="Arial"/>
      <family val="2"/>
      <scheme val="minor"/>
    </font>
    <font>
      <b/>
      <sz val="14"/>
      <color theme="0"/>
      <name val="Arial"/>
      <family val="2"/>
      <scheme val="minor"/>
    </font>
    <font>
      <b/>
      <i/>
      <sz val="14"/>
      <color theme="0"/>
      <name val="Arial"/>
      <family val="2"/>
      <scheme val="minor"/>
    </font>
    <font>
      <b/>
      <sz val="14"/>
      <color theme="0"/>
      <name val="Calibri"/>
      <family val="2"/>
    </font>
    <font>
      <i/>
      <sz val="10"/>
      <color rgb="FF000000"/>
      <name val="Arial"/>
      <family val="2"/>
      <scheme val="minor"/>
    </font>
    <font>
      <sz val="11"/>
      <color rgb="FF000000"/>
      <name val="Arial"/>
      <family val="2"/>
      <scheme val="minor"/>
    </font>
    <font>
      <b/>
      <sz val="10"/>
      <color rgb="FF000000"/>
      <name val="Arial"/>
      <family val="2"/>
      <scheme val="minor"/>
    </font>
    <font>
      <b/>
      <sz val="11"/>
      <color rgb="FF000000"/>
      <name val="Arial"/>
      <family val="2"/>
      <scheme val="minor"/>
    </font>
    <font>
      <b/>
      <u/>
      <sz val="10"/>
      <color theme="0"/>
      <name val="Arial"/>
      <family val="2"/>
      <scheme val="minor"/>
    </font>
  </fonts>
  <fills count="9">
    <fill>
      <patternFill patternType="none"/>
    </fill>
    <fill>
      <patternFill patternType="gray125"/>
    </fill>
    <fill>
      <patternFill patternType="solid">
        <fgColor theme="0"/>
        <bgColor indexed="64"/>
      </patternFill>
    </fill>
    <fill>
      <patternFill patternType="solid">
        <fgColor rgb="FFFFFFFF"/>
        <bgColor rgb="FFFFFFFF"/>
      </patternFill>
    </fill>
    <fill>
      <patternFill patternType="solid">
        <fgColor rgb="FFF8F9FA"/>
        <bgColor rgb="FFF8F9FA"/>
      </patternFill>
    </fill>
    <fill>
      <patternFill patternType="solid">
        <fgColor theme="6" tint="0.79998168889431442"/>
        <bgColor indexed="64"/>
      </patternFill>
    </fill>
    <fill>
      <patternFill patternType="solid">
        <fgColor theme="1"/>
        <bgColor indexed="64"/>
      </patternFill>
    </fill>
    <fill>
      <patternFill patternType="solid">
        <fgColor theme="1" tint="0.249977111117893"/>
        <bgColor indexed="64"/>
      </patternFill>
    </fill>
    <fill>
      <patternFill patternType="solid">
        <fgColor rgb="FF7030A0"/>
        <bgColor indexed="64"/>
      </patternFill>
    </fill>
  </fills>
  <borders count="22">
    <border>
      <left/>
      <right/>
      <top/>
      <bottom/>
      <diagonal/>
    </border>
    <border>
      <left/>
      <right/>
      <top style="thin">
        <color rgb="FF5B3F86"/>
      </top>
      <bottom/>
      <diagonal/>
    </border>
    <border>
      <left/>
      <right/>
      <top/>
      <bottom style="thin">
        <color rgb="FF5B3F86"/>
      </bottom>
      <diagonal/>
    </border>
    <border>
      <left style="thin">
        <color rgb="FF5B3F86"/>
      </left>
      <right/>
      <top/>
      <bottom/>
      <diagonal/>
    </border>
    <border>
      <left style="thin">
        <color rgb="FF5B3F86"/>
      </left>
      <right/>
      <top/>
      <bottom style="thin">
        <color rgb="FF5B3F86"/>
      </bottom>
      <diagonal/>
    </border>
    <border>
      <left style="thin">
        <color rgb="FF5B3F86"/>
      </left>
      <right/>
      <top style="thin">
        <color rgb="FF5B3F86"/>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style="thin">
        <color rgb="FF999999"/>
      </left>
      <right style="thin">
        <color rgb="FF999999"/>
      </right>
      <top style="thin">
        <color rgb="FF999999"/>
      </top>
      <bottom/>
      <diagonal/>
    </border>
    <border>
      <left/>
      <right/>
      <top style="thin">
        <color indexed="65"/>
      </top>
      <bottom/>
      <diagonal/>
    </border>
    <border>
      <left style="thin">
        <color rgb="FF999999"/>
      </left>
      <right style="thin">
        <color rgb="FF999999"/>
      </right>
      <top style="thin">
        <color indexed="65"/>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75">
    <xf numFmtId="0" fontId="0" fillId="0" borderId="0" xfId="0"/>
    <xf numFmtId="0" fontId="1" fillId="0" borderId="0" xfId="0" applyFont="1" applyAlignment="1">
      <alignment horizontal="left" vertical="center"/>
    </xf>
    <xf numFmtId="0" fontId="1" fillId="0" borderId="0" xfId="0" quotePrefix="1" applyFont="1" applyAlignment="1">
      <alignment horizontal="left" vertical="center"/>
    </xf>
    <xf numFmtId="0" fontId="3" fillId="0" borderId="0" xfId="0" applyFont="1"/>
    <xf numFmtId="0" fontId="4" fillId="0" borderId="0" xfId="0" applyFont="1"/>
    <xf numFmtId="0" fontId="5" fillId="0" borderId="0" xfId="0" applyFont="1"/>
    <xf numFmtId="164" fontId="4" fillId="0" borderId="0" xfId="0" applyNumberFormat="1" applyFont="1"/>
    <xf numFmtId="0" fontId="6" fillId="0" borderId="0" xfId="0" applyFont="1"/>
    <xf numFmtId="2" fontId="4" fillId="0" borderId="0" xfId="0" applyNumberFormat="1" applyFont="1"/>
    <xf numFmtId="0" fontId="2" fillId="2" borderId="1" xfId="0" applyFont="1" applyFill="1" applyBorder="1" applyAlignment="1">
      <alignment horizontal="center" vertical="center"/>
    </xf>
    <xf numFmtId="0" fontId="1" fillId="3" borderId="0" xfId="0" applyFont="1" applyFill="1" applyAlignment="1">
      <alignment horizontal="left" vertical="center"/>
    </xf>
    <xf numFmtId="0" fontId="1" fillId="4" borderId="0" xfId="0" applyFont="1" applyFill="1" applyAlignment="1">
      <alignment horizontal="left" vertical="center"/>
    </xf>
    <xf numFmtId="0" fontId="1" fillId="4" borderId="2" xfId="0" applyFont="1" applyFill="1" applyBorder="1" applyAlignment="1">
      <alignment horizontal="left" vertical="center"/>
    </xf>
    <xf numFmtId="0" fontId="1" fillId="4" borderId="3" xfId="0" applyFont="1" applyFill="1" applyBorder="1" applyAlignment="1">
      <alignment horizontal="left" vertical="center"/>
    </xf>
    <xf numFmtId="0" fontId="1" fillId="3" borderId="3" xfId="0" applyFont="1" applyFill="1" applyBorder="1" applyAlignment="1">
      <alignment horizontal="left" vertical="center"/>
    </xf>
    <xf numFmtId="0" fontId="2" fillId="2" borderId="5" xfId="0" applyFont="1" applyFill="1" applyBorder="1" applyAlignment="1">
      <alignment horizontal="center" vertical="center"/>
    </xf>
    <xf numFmtId="0" fontId="0" fillId="0" borderId="6" xfId="0" applyBorder="1"/>
    <xf numFmtId="0" fontId="0" fillId="0" borderId="7" xfId="0" applyBorder="1"/>
    <xf numFmtId="0" fontId="0" fillId="0" borderId="8" xfId="0" applyBorder="1"/>
    <xf numFmtId="0" fontId="0" fillId="0" borderId="6" xfId="0" pivotButton="1" applyBorder="1"/>
    <xf numFmtId="0" fontId="0" fillId="0" borderId="13" xfId="0" applyBorder="1"/>
    <xf numFmtId="0" fontId="0" fillId="0" borderId="14" xfId="0" applyBorder="1"/>
    <xf numFmtId="0" fontId="0" fillId="0" borderId="6"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9" xfId="0" applyBorder="1"/>
    <xf numFmtId="0" fontId="0" fillId="0" borderId="15" xfId="0" applyBorder="1"/>
    <xf numFmtId="0" fontId="0" fillId="0" borderId="16" xfId="0" applyBorder="1"/>
    <xf numFmtId="0" fontId="0" fillId="0" borderId="10" xfId="0" applyBorder="1"/>
    <xf numFmtId="0" fontId="0" fillId="0" borderId="11" xfId="0" applyBorder="1"/>
    <xf numFmtId="0" fontId="0" fillId="0" borderId="12" xfId="0" applyBorder="1"/>
    <xf numFmtId="0" fontId="7" fillId="0" borderId="6" xfId="0" pivotButton="1" applyFont="1" applyBorder="1" applyAlignment="1">
      <alignment wrapText="1"/>
    </xf>
    <xf numFmtId="0" fontId="1" fillId="4" borderId="0" xfId="0" quotePrefix="1" applyFont="1" applyFill="1" applyAlignment="1">
      <alignment horizontal="left" vertical="center"/>
    </xf>
    <xf numFmtId="0" fontId="1" fillId="3" borderId="4" xfId="0" applyFont="1" applyFill="1" applyBorder="1" applyAlignment="1">
      <alignment horizontal="left" vertical="center"/>
    </xf>
    <xf numFmtId="0" fontId="1" fillId="3" borderId="2" xfId="0" applyFont="1" applyFill="1" applyBorder="1" applyAlignment="1">
      <alignment horizontal="left" vertical="center"/>
    </xf>
    <xf numFmtId="0" fontId="8" fillId="0" borderId="0" xfId="0" applyFont="1"/>
    <xf numFmtId="2" fontId="0" fillId="0" borderId="0" xfId="0" applyNumberFormat="1"/>
    <xf numFmtId="0" fontId="9" fillId="2" borderId="0" xfId="0" applyFont="1" applyFill="1" applyAlignment="1">
      <alignment horizontal="left"/>
    </xf>
    <xf numFmtId="0" fontId="10" fillId="2" borderId="0" xfId="0" applyFont="1" applyFill="1" applyAlignment="1">
      <alignment horizontal="centerContinuous"/>
    </xf>
    <xf numFmtId="0" fontId="10" fillId="2" borderId="0" xfId="0" applyFont="1" applyFill="1"/>
    <xf numFmtId="0" fontId="10" fillId="5" borderId="17" xfId="0" applyFont="1" applyFill="1" applyBorder="1"/>
    <xf numFmtId="0" fontId="9" fillId="2" borderId="0" xfId="0" applyFont="1" applyFill="1"/>
    <xf numFmtId="0" fontId="10" fillId="2" borderId="17" xfId="0" applyFont="1" applyFill="1" applyBorder="1"/>
    <xf numFmtId="164" fontId="10" fillId="2" borderId="17" xfId="0" applyNumberFormat="1" applyFont="1" applyFill="1" applyBorder="1"/>
    <xf numFmtId="0" fontId="13" fillId="2" borderId="17" xfId="0" applyFont="1" applyFill="1" applyBorder="1"/>
    <xf numFmtId="0" fontId="14" fillId="6" borderId="17" xfId="0" applyFont="1" applyFill="1" applyBorder="1" applyAlignment="1">
      <alignment horizontal="centerContinuous"/>
    </xf>
    <xf numFmtId="0" fontId="14" fillId="7" borderId="17" xfId="0" applyFont="1" applyFill="1" applyBorder="1" applyAlignment="1">
      <alignment horizontal="centerContinuous"/>
    </xf>
    <xf numFmtId="0" fontId="14" fillId="6" borderId="17" xfId="0" applyFont="1" applyFill="1" applyBorder="1"/>
    <xf numFmtId="164" fontId="14" fillId="6" borderId="17" xfId="0" applyNumberFormat="1" applyFont="1" applyFill="1" applyBorder="1"/>
    <xf numFmtId="0" fontId="14" fillId="7" borderId="17" xfId="0" applyFont="1" applyFill="1" applyBorder="1"/>
    <xf numFmtId="164" fontId="14" fillId="7" borderId="17" xfId="0" applyNumberFormat="1" applyFont="1" applyFill="1" applyBorder="1"/>
    <xf numFmtId="0" fontId="15" fillId="6" borderId="17" xfId="0" applyFont="1" applyFill="1" applyBorder="1"/>
    <xf numFmtId="0" fontId="15" fillId="7" borderId="17" xfId="0" applyFont="1" applyFill="1" applyBorder="1"/>
    <xf numFmtId="0" fontId="9" fillId="2" borderId="0" xfId="0" applyFont="1" applyFill="1" applyAlignment="1">
      <alignment horizontal="center"/>
    </xf>
    <xf numFmtId="0" fontId="0" fillId="0" borderId="20" xfId="0" applyBorder="1"/>
    <xf numFmtId="0" fontId="17" fillId="0" borderId="21" xfId="0" applyFont="1" applyBorder="1" applyAlignment="1">
      <alignment horizontal="center"/>
    </xf>
    <xf numFmtId="0" fontId="17" fillId="0" borderId="21" xfId="0" applyFont="1" applyBorder="1" applyAlignment="1">
      <alignment horizontal="centerContinuous"/>
    </xf>
    <xf numFmtId="165" fontId="0" fillId="0" borderId="0" xfId="0" applyNumberFormat="1"/>
    <xf numFmtId="165" fontId="0" fillId="0" borderId="20" xfId="0" applyNumberFormat="1" applyBorder="1"/>
    <xf numFmtId="0" fontId="18" fillId="0" borderId="0" xfId="0" applyFont="1"/>
    <xf numFmtId="0" fontId="0" fillId="0" borderId="0" xfId="0" applyAlignment="1">
      <alignment wrapText="1"/>
    </xf>
    <xf numFmtId="0" fontId="18" fillId="0" borderId="0" xfId="0" applyFont="1" applyAlignment="1">
      <alignment wrapText="1"/>
    </xf>
    <xf numFmtId="0" fontId="19" fillId="0" borderId="0" xfId="0" applyFont="1"/>
    <xf numFmtId="0" fontId="20" fillId="0" borderId="0" xfId="0" applyFont="1" applyAlignment="1">
      <alignment wrapText="1"/>
    </xf>
    <xf numFmtId="0" fontId="3" fillId="0" borderId="0" xfId="0" applyFont="1" applyAlignment="1">
      <alignment wrapText="1"/>
    </xf>
    <xf numFmtId="0" fontId="20" fillId="0" borderId="0" xfId="0" applyFont="1" applyAlignment="1">
      <alignment horizontal="center" wrapText="1"/>
    </xf>
    <xf numFmtId="0" fontId="9" fillId="2" borderId="0" xfId="0" applyFont="1" applyFill="1" applyAlignment="1">
      <alignment wrapText="1"/>
    </xf>
    <xf numFmtId="0" fontId="19" fillId="0" borderId="0" xfId="0" applyFont="1" applyAlignment="1">
      <alignment horizontal="left"/>
    </xf>
    <xf numFmtId="0" fontId="9" fillId="5" borderId="17" xfId="0" applyFont="1" applyFill="1" applyBorder="1" applyAlignment="1">
      <alignment horizontal="center"/>
    </xf>
    <xf numFmtId="0" fontId="10" fillId="2" borderId="17" xfId="0" applyFont="1" applyFill="1" applyBorder="1" applyAlignment="1">
      <alignment horizontal="center"/>
    </xf>
    <xf numFmtId="0" fontId="14" fillId="6" borderId="18" xfId="0" applyFont="1" applyFill="1" applyBorder="1" applyAlignment="1">
      <alignment horizontal="center"/>
    </xf>
    <xf numFmtId="0" fontId="14" fillId="6" borderId="19" xfId="0" applyFont="1" applyFill="1" applyBorder="1" applyAlignment="1">
      <alignment horizontal="center"/>
    </xf>
    <xf numFmtId="0" fontId="21" fillId="8" borderId="0" xfId="0" applyFont="1" applyFill="1" applyAlignment="1">
      <alignment horizontal="center" vertical="center"/>
    </xf>
    <xf numFmtId="0" fontId="1" fillId="0" borderId="0" xfId="0" applyFont="1" applyBorder="1" applyAlignment="1">
      <alignment horizontal="left" vertical="center"/>
    </xf>
    <xf numFmtId="0" fontId="0" fillId="0" borderId="0" xfId="0" applyBorder="1" applyAlignment="1">
      <alignment horizontal="left"/>
    </xf>
  </cellXfs>
  <cellStyles count="1">
    <cellStyle name="Normal" xfId="0" builtinId="0"/>
  </cellStyles>
  <dxfs count="10">
    <dxf>
      <font>
        <b/>
        <strike val="0"/>
        <outline val="0"/>
        <shadow val="0"/>
        <u/>
        <vertAlign val="baseline"/>
        <sz val="10"/>
        <color theme="0"/>
        <name val="Arial"/>
        <family val="2"/>
        <scheme val="minor"/>
      </font>
      <fill>
        <patternFill patternType="solid">
          <fgColor indexed="64"/>
          <bgColor rgb="FF7030A0"/>
        </patternFill>
      </fill>
      <alignment horizontal="center" vertical="center" textRotation="0" wrapText="0" indent="0" justifyLastLine="0" shrinkToFit="0" readingOrder="0"/>
    </dxf>
    <dxf>
      <alignment wrapText="1"/>
    </dxf>
    <dxf>
      <font>
        <sz val="12"/>
      </font>
    </dxf>
    <dxf>
      <font>
        <u/>
      </font>
    </dxf>
    <dxf>
      <font>
        <b/>
        <family val="2"/>
      </font>
    </dxf>
    <dxf>
      <font>
        <b val="0"/>
        <i val="0"/>
        <strike val="0"/>
        <condense val="0"/>
        <extend val="0"/>
        <outline val="0"/>
        <shadow val="0"/>
        <u val="none"/>
        <vertAlign val="baseline"/>
        <sz val="10"/>
        <color theme="1"/>
        <name val="Arial"/>
        <family val="2"/>
        <scheme val="minor"/>
      </font>
      <alignment horizontal="left"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9"/>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CAFFEINE INTAKE (Oz)  Residual Plot</a:t>
            </a:r>
          </a:p>
        </c:rich>
      </c:tx>
      <c:overlay val="0"/>
    </c:title>
    <c:autoTitleDeleted val="0"/>
    <c:plotArea>
      <c:layout/>
      <c:scatterChart>
        <c:scatterStyle val="lineMarker"/>
        <c:varyColors val="0"/>
        <c:ser>
          <c:idx val="0"/>
          <c:order val="0"/>
          <c:spPr>
            <a:ln w="19050">
              <a:noFill/>
            </a:ln>
          </c:spPr>
          <c:xVal>
            <c:numRef>
              <c:f>'Form Responses 1'!$E$2:$E$61</c:f>
              <c:numCache>
                <c:formatCode>General</c:formatCode>
                <c:ptCount val="60"/>
                <c:pt idx="0">
                  <c:v>20</c:v>
                </c:pt>
                <c:pt idx="1">
                  <c:v>0</c:v>
                </c:pt>
                <c:pt idx="2">
                  <c:v>12</c:v>
                </c:pt>
                <c:pt idx="3">
                  <c:v>0</c:v>
                </c:pt>
                <c:pt idx="4">
                  <c:v>5</c:v>
                </c:pt>
                <c:pt idx="5">
                  <c:v>0</c:v>
                </c:pt>
                <c:pt idx="6">
                  <c:v>24</c:v>
                </c:pt>
                <c:pt idx="7">
                  <c:v>17</c:v>
                </c:pt>
                <c:pt idx="8">
                  <c:v>8</c:v>
                </c:pt>
                <c:pt idx="9">
                  <c:v>8</c:v>
                </c:pt>
                <c:pt idx="10">
                  <c:v>8</c:v>
                </c:pt>
                <c:pt idx="11">
                  <c:v>8</c:v>
                </c:pt>
                <c:pt idx="12">
                  <c:v>10</c:v>
                </c:pt>
                <c:pt idx="13">
                  <c:v>8</c:v>
                </c:pt>
                <c:pt idx="14">
                  <c:v>8</c:v>
                </c:pt>
                <c:pt idx="15">
                  <c:v>14</c:v>
                </c:pt>
                <c:pt idx="16">
                  <c:v>0</c:v>
                </c:pt>
                <c:pt idx="17">
                  <c:v>6</c:v>
                </c:pt>
                <c:pt idx="18">
                  <c:v>30</c:v>
                </c:pt>
                <c:pt idx="19">
                  <c:v>8</c:v>
                </c:pt>
                <c:pt idx="20">
                  <c:v>12</c:v>
                </c:pt>
                <c:pt idx="21">
                  <c:v>12</c:v>
                </c:pt>
                <c:pt idx="22">
                  <c:v>0</c:v>
                </c:pt>
                <c:pt idx="23">
                  <c:v>8</c:v>
                </c:pt>
                <c:pt idx="24">
                  <c:v>12</c:v>
                </c:pt>
                <c:pt idx="25">
                  <c:v>12</c:v>
                </c:pt>
                <c:pt idx="26">
                  <c:v>10</c:v>
                </c:pt>
                <c:pt idx="27">
                  <c:v>10</c:v>
                </c:pt>
                <c:pt idx="28">
                  <c:v>16</c:v>
                </c:pt>
                <c:pt idx="29">
                  <c:v>16</c:v>
                </c:pt>
                <c:pt idx="30">
                  <c:v>16</c:v>
                </c:pt>
                <c:pt idx="31">
                  <c:v>25</c:v>
                </c:pt>
                <c:pt idx="32">
                  <c:v>8</c:v>
                </c:pt>
                <c:pt idx="33">
                  <c:v>10</c:v>
                </c:pt>
                <c:pt idx="34">
                  <c:v>10</c:v>
                </c:pt>
                <c:pt idx="35">
                  <c:v>0</c:v>
                </c:pt>
                <c:pt idx="36">
                  <c:v>8</c:v>
                </c:pt>
                <c:pt idx="37">
                  <c:v>8</c:v>
                </c:pt>
                <c:pt idx="38">
                  <c:v>0</c:v>
                </c:pt>
                <c:pt idx="39">
                  <c:v>16</c:v>
                </c:pt>
                <c:pt idx="40">
                  <c:v>8</c:v>
                </c:pt>
                <c:pt idx="41">
                  <c:v>8</c:v>
                </c:pt>
                <c:pt idx="42">
                  <c:v>24</c:v>
                </c:pt>
                <c:pt idx="43">
                  <c:v>0</c:v>
                </c:pt>
                <c:pt idx="44">
                  <c:v>12</c:v>
                </c:pt>
                <c:pt idx="45">
                  <c:v>16</c:v>
                </c:pt>
                <c:pt idx="46">
                  <c:v>8</c:v>
                </c:pt>
                <c:pt idx="47">
                  <c:v>16</c:v>
                </c:pt>
                <c:pt idx="48">
                  <c:v>16</c:v>
                </c:pt>
                <c:pt idx="49">
                  <c:v>8</c:v>
                </c:pt>
                <c:pt idx="50">
                  <c:v>20</c:v>
                </c:pt>
                <c:pt idx="51">
                  <c:v>0</c:v>
                </c:pt>
                <c:pt idx="52">
                  <c:v>24</c:v>
                </c:pt>
                <c:pt idx="53">
                  <c:v>6</c:v>
                </c:pt>
                <c:pt idx="54">
                  <c:v>12</c:v>
                </c:pt>
                <c:pt idx="55">
                  <c:v>0</c:v>
                </c:pt>
                <c:pt idx="56">
                  <c:v>8</c:v>
                </c:pt>
                <c:pt idx="57">
                  <c:v>30</c:v>
                </c:pt>
                <c:pt idx="58">
                  <c:v>12</c:v>
                </c:pt>
                <c:pt idx="59">
                  <c:v>8</c:v>
                </c:pt>
              </c:numCache>
            </c:numRef>
          </c:xVal>
          <c:yVal>
            <c:numRef>
              <c:f>'REGRESSION SUMMARY'!$C$25:$C$84</c:f>
              <c:numCache>
                <c:formatCode>General</c:formatCode>
                <c:ptCount val="60"/>
                <c:pt idx="0">
                  <c:v>-0.57079698925390421</c:v>
                </c:pt>
                <c:pt idx="1">
                  <c:v>0.53785967225177522</c:v>
                </c:pt>
                <c:pt idx="2">
                  <c:v>0.47266567534836756</c:v>
                </c:pt>
                <c:pt idx="3">
                  <c:v>-0.96214032774822478</c:v>
                </c:pt>
                <c:pt idx="4">
                  <c:v>-1.4893044931246449</c:v>
                </c:pt>
                <c:pt idx="5">
                  <c:v>-2.4621403277482248</c:v>
                </c:pt>
                <c:pt idx="6">
                  <c:v>-1.5925283215550401</c:v>
                </c:pt>
                <c:pt idx="7">
                  <c:v>0.44550150997194748</c:v>
                </c:pt>
                <c:pt idx="8">
                  <c:v>-0.50560299235049655</c:v>
                </c:pt>
                <c:pt idx="9">
                  <c:v>0.49439700764950345</c:v>
                </c:pt>
                <c:pt idx="10">
                  <c:v>1.4943970076495035</c:v>
                </c:pt>
                <c:pt idx="11">
                  <c:v>-0.50560299235049655</c:v>
                </c:pt>
                <c:pt idx="12">
                  <c:v>1.4835313414989351</c:v>
                </c:pt>
                <c:pt idx="13">
                  <c:v>-0.50560299235049655</c:v>
                </c:pt>
                <c:pt idx="14">
                  <c:v>0.49439700764950345</c:v>
                </c:pt>
                <c:pt idx="15">
                  <c:v>-0.53819999080220082</c:v>
                </c:pt>
                <c:pt idx="16">
                  <c:v>-1.4621403277482248</c:v>
                </c:pt>
                <c:pt idx="17">
                  <c:v>1.5052626738000709</c:v>
                </c:pt>
                <c:pt idx="18">
                  <c:v>-0.62512532000674437</c:v>
                </c:pt>
                <c:pt idx="19">
                  <c:v>2.4943970076495035</c:v>
                </c:pt>
                <c:pt idx="20">
                  <c:v>-0.52733432465163244</c:v>
                </c:pt>
                <c:pt idx="21">
                  <c:v>0.47266567534836756</c:v>
                </c:pt>
                <c:pt idx="22">
                  <c:v>0.53785967225177522</c:v>
                </c:pt>
                <c:pt idx="23">
                  <c:v>0.49439700764950345</c:v>
                </c:pt>
                <c:pt idx="24">
                  <c:v>-2.5273343246516324</c:v>
                </c:pt>
                <c:pt idx="25">
                  <c:v>0.47266567534836756</c:v>
                </c:pt>
                <c:pt idx="26">
                  <c:v>-0.51646865850106494</c:v>
                </c:pt>
                <c:pt idx="27">
                  <c:v>0.48353134149893506</c:v>
                </c:pt>
                <c:pt idx="28">
                  <c:v>-1.5490656569527683</c:v>
                </c:pt>
                <c:pt idx="29">
                  <c:v>1.4509343430472317</c:v>
                </c:pt>
                <c:pt idx="30">
                  <c:v>0.45093434304723168</c:v>
                </c:pt>
                <c:pt idx="31">
                  <c:v>-0.59796115463032429</c:v>
                </c:pt>
                <c:pt idx="32">
                  <c:v>1.4943970076495035</c:v>
                </c:pt>
                <c:pt idx="33">
                  <c:v>1.4835313414989351</c:v>
                </c:pt>
                <c:pt idx="34">
                  <c:v>-1.5164686585010649</c:v>
                </c:pt>
                <c:pt idx="35">
                  <c:v>-0.46214032774822478</c:v>
                </c:pt>
                <c:pt idx="36">
                  <c:v>1.4943970076495035</c:v>
                </c:pt>
                <c:pt idx="37">
                  <c:v>0.49439700764950345</c:v>
                </c:pt>
                <c:pt idx="38">
                  <c:v>-0.46214032774822478</c:v>
                </c:pt>
                <c:pt idx="39">
                  <c:v>-1.5490656569527683</c:v>
                </c:pt>
                <c:pt idx="40">
                  <c:v>0.49439700764950345</c:v>
                </c:pt>
                <c:pt idx="41">
                  <c:v>1.4943970076495035</c:v>
                </c:pt>
                <c:pt idx="42">
                  <c:v>1.4074716784449599</c:v>
                </c:pt>
                <c:pt idx="43">
                  <c:v>-0.46214032774822478</c:v>
                </c:pt>
                <c:pt idx="44">
                  <c:v>0.47266567534836756</c:v>
                </c:pt>
                <c:pt idx="45">
                  <c:v>-1.5490656569527683</c:v>
                </c:pt>
                <c:pt idx="46">
                  <c:v>0.49439700764950345</c:v>
                </c:pt>
                <c:pt idx="47">
                  <c:v>-4.9065656952768322E-2</c:v>
                </c:pt>
                <c:pt idx="48">
                  <c:v>0.45093434304723168</c:v>
                </c:pt>
                <c:pt idx="49">
                  <c:v>-1.0056029923504965</c:v>
                </c:pt>
                <c:pt idx="50">
                  <c:v>1.4292030107460958</c:v>
                </c:pt>
                <c:pt idx="51">
                  <c:v>0.2378596722517754</c:v>
                </c:pt>
                <c:pt idx="52">
                  <c:v>0.40747167844495991</c:v>
                </c:pt>
                <c:pt idx="53">
                  <c:v>-1.4947373261999291</c:v>
                </c:pt>
                <c:pt idx="54">
                  <c:v>0.47266567534836756</c:v>
                </c:pt>
                <c:pt idx="55">
                  <c:v>0.53785967225177522</c:v>
                </c:pt>
                <c:pt idx="56">
                  <c:v>-1.5056029923504965</c:v>
                </c:pt>
                <c:pt idx="57">
                  <c:v>-0.62512532000674437</c:v>
                </c:pt>
                <c:pt idx="58">
                  <c:v>0.47266567534836756</c:v>
                </c:pt>
                <c:pt idx="59">
                  <c:v>0.49439700764950345</c:v>
                </c:pt>
              </c:numCache>
            </c:numRef>
          </c:yVal>
          <c:smooth val="0"/>
          <c:extLst>
            <c:ext xmlns:c16="http://schemas.microsoft.com/office/drawing/2014/chart" uri="{C3380CC4-5D6E-409C-BE32-E72D297353CC}">
              <c16:uniqueId val="{00000004-82CF-404D-98F6-CC0091EB05B7}"/>
            </c:ext>
          </c:extLst>
        </c:ser>
        <c:dLbls>
          <c:showLegendKey val="0"/>
          <c:showVal val="0"/>
          <c:showCatName val="0"/>
          <c:showSerName val="0"/>
          <c:showPercent val="0"/>
          <c:showBubbleSize val="0"/>
        </c:dLbls>
        <c:axId val="1958244159"/>
        <c:axId val="1958234303"/>
      </c:scatterChart>
      <c:valAx>
        <c:axId val="1958244159"/>
        <c:scaling>
          <c:orientation val="minMax"/>
        </c:scaling>
        <c:delete val="0"/>
        <c:axPos val="b"/>
        <c:title>
          <c:tx>
            <c:rich>
              <a:bodyPr/>
              <a:lstStyle/>
              <a:p>
                <a:pPr>
                  <a:defRPr/>
                </a:pPr>
                <a:r>
                  <a:rPr lang="en-GB"/>
                  <a:t>CAFFEINE INTAKE (Oz)</a:t>
                </a:r>
              </a:p>
            </c:rich>
          </c:tx>
          <c:overlay val="0"/>
        </c:title>
        <c:numFmt formatCode="General" sourceLinked="1"/>
        <c:majorTickMark val="out"/>
        <c:minorTickMark val="none"/>
        <c:tickLblPos val="nextTo"/>
        <c:crossAx val="1958234303"/>
        <c:crosses val="autoZero"/>
        <c:crossBetween val="midCat"/>
      </c:valAx>
      <c:valAx>
        <c:axId val="1958234303"/>
        <c:scaling>
          <c:orientation val="minMax"/>
        </c:scaling>
        <c:delete val="0"/>
        <c:axPos val="l"/>
        <c:title>
          <c:tx>
            <c:rich>
              <a:bodyPr/>
              <a:lstStyle/>
              <a:p>
                <a:pPr>
                  <a:defRPr/>
                </a:pPr>
                <a:r>
                  <a:rPr lang="en-GB"/>
                  <a:t>Residuals</a:t>
                </a:r>
              </a:p>
            </c:rich>
          </c:tx>
          <c:overlay val="0"/>
        </c:title>
        <c:numFmt formatCode="General" sourceLinked="1"/>
        <c:majorTickMark val="out"/>
        <c:minorTickMark val="none"/>
        <c:tickLblPos val="nextTo"/>
        <c:crossAx val="195824415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CAFFEINE INTAKE (Oz) Line Fit  Plot</a:t>
            </a:r>
          </a:p>
        </c:rich>
      </c:tx>
      <c:overlay val="0"/>
    </c:title>
    <c:autoTitleDeleted val="0"/>
    <c:plotArea>
      <c:layout/>
      <c:scatterChart>
        <c:scatterStyle val="lineMarker"/>
        <c:varyColors val="0"/>
        <c:ser>
          <c:idx val="0"/>
          <c:order val="0"/>
          <c:tx>
            <c:v>HOURS OF SLEEP</c:v>
          </c:tx>
          <c:spPr>
            <a:ln w="19050">
              <a:noFill/>
            </a:ln>
          </c:spPr>
          <c:xVal>
            <c:numRef>
              <c:f>'Form Responses 1'!$E$2:$E$61</c:f>
              <c:numCache>
                <c:formatCode>General</c:formatCode>
                <c:ptCount val="60"/>
                <c:pt idx="0">
                  <c:v>20</c:v>
                </c:pt>
                <c:pt idx="1">
                  <c:v>0</c:v>
                </c:pt>
                <c:pt idx="2">
                  <c:v>12</c:v>
                </c:pt>
                <c:pt idx="3">
                  <c:v>0</c:v>
                </c:pt>
                <c:pt idx="4">
                  <c:v>5</c:v>
                </c:pt>
                <c:pt idx="5">
                  <c:v>0</c:v>
                </c:pt>
                <c:pt idx="6">
                  <c:v>24</c:v>
                </c:pt>
                <c:pt idx="7">
                  <c:v>17</c:v>
                </c:pt>
                <c:pt idx="8">
                  <c:v>8</c:v>
                </c:pt>
                <c:pt idx="9">
                  <c:v>8</c:v>
                </c:pt>
                <c:pt idx="10">
                  <c:v>8</c:v>
                </c:pt>
                <c:pt idx="11">
                  <c:v>8</c:v>
                </c:pt>
                <c:pt idx="12">
                  <c:v>10</c:v>
                </c:pt>
                <c:pt idx="13">
                  <c:v>8</c:v>
                </c:pt>
                <c:pt idx="14">
                  <c:v>8</c:v>
                </c:pt>
                <c:pt idx="15">
                  <c:v>14</c:v>
                </c:pt>
                <c:pt idx="16">
                  <c:v>0</c:v>
                </c:pt>
                <c:pt idx="17">
                  <c:v>6</c:v>
                </c:pt>
                <c:pt idx="18">
                  <c:v>30</c:v>
                </c:pt>
                <c:pt idx="19">
                  <c:v>8</c:v>
                </c:pt>
                <c:pt idx="20">
                  <c:v>12</c:v>
                </c:pt>
                <c:pt idx="21">
                  <c:v>12</c:v>
                </c:pt>
                <c:pt idx="22">
                  <c:v>0</c:v>
                </c:pt>
                <c:pt idx="23">
                  <c:v>8</c:v>
                </c:pt>
                <c:pt idx="24">
                  <c:v>12</c:v>
                </c:pt>
                <c:pt idx="25">
                  <c:v>12</c:v>
                </c:pt>
                <c:pt idx="26">
                  <c:v>10</c:v>
                </c:pt>
                <c:pt idx="27">
                  <c:v>10</c:v>
                </c:pt>
                <c:pt idx="28">
                  <c:v>16</c:v>
                </c:pt>
                <c:pt idx="29">
                  <c:v>16</c:v>
                </c:pt>
                <c:pt idx="30">
                  <c:v>16</c:v>
                </c:pt>
                <c:pt idx="31">
                  <c:v>25</c:v>
                </c:pt>
                <c:pt idx="32">
                  <c:v>8</c:v>
                </c:pt>
                <c:pt idx="33">
                  <c:v>10</c:v>
                </c:pt>
                <c:pt idx="34">
                  <c:v>10</c:v>
                </c:pt>
                <c:pt idx="35">
                  <c:v>0</c:v>
                </c:pt>
                <c:pt idx="36">
                  <c:v>8</c:v>
                </c:pt>
                <c:pt idx="37">
                  <c:v>8</c:v>
                </c:pt>
                <c:pt idx="38">
                  <c:v>0</c:v>
                </c:pt>
                <c:pt idx="39">
                  <c:v>16</c:v>
                </c:pt>
                <c:pt idx="40">
                  <c:v>8</c:v>
                </c:pt>
                <c:pt idx="41">
                  <c:v>8</c:v>
                </c:pt>
                <c:pt idx="42">
                  <c:v>24</c:v>
                </c:pt>
                <c:pt idx="43">
                  <c:v>0</c:v>
                </c:pt>
                <c:pt idx="44">
                  <c:v>12</c:v>
                </c:pt>
                <c:pt idx="45">
                  <c:v>16</c:v>
                </c:pt>
                <c:pt idx="46">
                  <c:v>8</c:v>
                </c:pt>
                <c:pt idx="47">
                  <c:v>16</c:v>
                </c:pt>
                <c:pt idx="48">
                  <c:v>16</c:v>
                </c:pt>
                <c:pt idx="49">
                  <c:v>8</c:v>
                </c:pt>
                <c:pt idx="50">
                  <c:v>20</c:v>
                </c:pt>
                <c:pt idx="51">
                  <c:v>0</c:v>
                </c:pt>
                <c:pt idx="52">
                  <c:v>24</c:v>
                </c:pt>
                <c:pt idx="53">
                  <c:v>6</c:v>
                </c:pt>
                <c:pt idx="54">
                  <c:v>12</c:v>
                </c:pt>
                <c:pt idx="55">
                  <c:v>0</c:v>
                </c:pt>
                <c:pt idx="56">
                  <c:v>8</c:v>
                </c:pt>
                <c:pt idx="57">
                  <c:v>30</c:v>
                </c:pt>
                <c:pt idx="58">
                  <c:v>12</c:v>
                </c:pt>
                <c:pt idx="59">
                  <c:v>8</c:v>
                </c:pt>
              </c:numCache>
            </c:numRef>
          </c:xVal>
          <c:yVal>
            <c:numRef>
              <c:f>'Form Responses 1'!$D$2:$D$61</c:f>
              <c:numCache>
                <c:formatCode>General</c:formatCode>
                <c:ptCount val="60"/>
                <c:pt idx="0">
                  <c:v>6</c:v>
                </c:pt>
                <c:pt idx="1">
                  <c:v>7</c:v>
                </c:pt>
                <c:pt idx="2">
                  <c:v>7</c:v>
                </c:pt>
                <c:pt idx="3">
                  <c:v>5.5</c:v>
                </c:pt>
                <c:pt idx="4">
                  <c:v>5</c:v>
                </c:pt>
                <c:pt idx="5">
                  <c:v>4</c:v>
                </c:pt>
                <c:pt idx="6">
                  <c:v>5</c:v>
                </c:pt>
                <c:pt idx="7">
                  <c:v>7</c:v>
                </c:pt>
                <c:pt idx="8">
                  <c:v>6</c:v>
                </c:pt>
                <c:pt idx="9">
                  <c:v>7</c:v>
                </c:pt>
                <c:pt idx="10">
                  <c:v>8</c:v>
                </c:pt>
                <c:pt idx="11">
                  <c:v>6</c:v>
                </c:pt>
                <c:pt idx="12">
                  <c:v>8</c:v>
                </c:pt>
                <c:pt idx="13">
                  <c:v>6</c:v>
                </c:pt>
                <c:pt idx="14">
                  <c:v>7</c:v>
                </c:pt>
                <c:pt idx="15">
                  <c:v>6</c:v>
                </c:pt>
                <c:pt idx="16">
                  <c:v>5</c:v>
                </c:pt>
                <c:pt idx="17">
                  <c:v>8</c:v>
                </c:pt>
                <c:pt idx="18">
                  <c:v>6</c:v>
                </c:pt>
                <c:pt idx="19">
                  <c:v>9</c:v>
                </c:pt>
                <c:pt idx="20">
                  <c:v>6</c:v>
                </c:pt>
                <c:pt idx="21">
                  <c:v>7</c:v>
                </c:pt>
                <c:pt idx="22">
                  <c:v>7</c:v>
                </c:pt>
                <c:pt idx="23">
                  <c:v>7</c:v>
                </c:pt>
                <c:pt idx="24">
                  <c:v>4</c:v>
                </c:pt>
                <c:pt idx="25">
                  <c:v>7</c:v>
                </c:pt>
                <c:pt idx="26">
                  <c:v>6</c:v>
                </c:pt>
                <c:pt idx="27">
                  <c:v>7</c:v>
                </c:pt>
                <c:pt idx="28">
                  <c:v>5</c:v>
                </c:pt>
                <c:pt idx="29">
                  <c:v>8</c:v>
                </c:pt>
                <c:pt idx="30">
                  <c:v>7</c:v>
                </c:pt>
                <c:pt idx="31">
                  <c:v>6</c:v>
                </c:pt>
                <c:pt idx="32">
                  <c:v>8</c:v>
                </c:pt>
                <c:pt idx="33">
                  <c:v>8</c:v>
                </c:pt>
                <c:pt idx="34">
                  <c:v>5</c:v>
                </c:pt>
                <c:pt idx="35">
                  <c:v>6</c:v>
                </c:pt>
                <c:pt idx="36">
                  <c:v>8</c:v>
                </c:pt>
                <c:pt idx="37">
                  <c:v>7</c:v>
                </c:pt>
                <c:pt idx="38">
                  <c:v>6</c:v>
                </c:pt>
                <c:pt idx="39">
                  <c:v>5</c:v>
                </c:pt>
                <c:pt idx="40">
                  <c:v>7</c:v>
                </c:pt>
                <c:pt idx="41">
                  <c:v>8</c:v>
                </c:pt>
                <c:pt idx="42">
                  <c:v>8</c:v>
                </c:pt>
                <c:pt idx="43">
                  <c:v>6</c:v>
                </c:pt>
                <c:pt idx="44">
                  <c:v>7</c:v>
                </c:pt>
                <c:pt idx="45">
                  <c:v>5</c:v>
                </c:pt>
                <c:pt idx="46">
                  <c:v>7</c:v>
                </c:pt>
                <c:pt idx="47">
                  <c:v>6.5</c:v>
                </c:pt>
                <c:pt idx="48">
                  <c:v>7</c:v>
                </c:pt>
                <c:pt idx="49">
                  <c:v>5.5</c:v>
                </c:pt>
                <c:pt idx="50">
                  <c:v>8</c:v>
                </c:pt>
                <c:pt idx="51">
                  <c:v>6.7</c:v>
                </c:pt>
                <c:pt idx="52">
                  <c:v>7</c:v>
                </c:pt>
                <c:pt idx="53">
                  <c:v>5</c:v>
                </c:pt>
                <c:pt idx="54">
                  <c:v>7</c:v>
                </c:pt>
                <c:pt idx="55">
                  <c:v>7</c:v>
                </c:pt>
                <c:pt idx="56">
                  <c:v>5</c:v>
                </c:pt>
                <c:pt idx="57">
                  <c:v>6</c:v>
                </c:pt>
                <c:pt idx="58">
                  <c:v>7</c:v>
                </c:pt>
                <c:pt idx="59">
                  <c:v>7</c:v>
                </c:pt>
              </c:numCache>
            </c:numRef>
          </c:yVal>
          <c:smooth val="0"/>
          <c:extLst>
            <c:ext xmlns:c16="http://schemas.microsoft.com/office/drawing/2014/chart" uri="{C3380CC4-5D6E-409C-BE32-E72D297353CC}">
              <c16:uniqueId val="{00000004-99BB-F640-901A-36B8B7C20251}"/>
            </c:ext>
          </c:extLst>
        </c:ser>
        <c:ser>
          <c:idx val="1"/>
          <c:order val="1"/>
          <c:tx>
            <c:v>Predicted HOURS OF SLEEP</c:v>
          </c:tx>
          <c:spPr>
            <a:ln w="19050">
              <a:noFill/>
            </a:ln>
          </c:spPr>
          <c:xVal>
            <c:numRef>
              <c:f>'Form Responses 1'!$E$2:$E$61</c:f>
              <c:numCache>
                <c:formatCode>General</c:formatCode>
                <c:ptCount val="60"/>
                <c:pt idx="0">
                  <c:v>20</c:v>
                </c:pt>
                <c:pt idx="1">
                  <c:v>0</c:v>
                </c:pt>
                <c:pt idx="2">
                  <c:v>12</c:v>
                </c:pt>
                <c:pt idx="3">
                  <c:v>0</c:v>
                </c:pt>
                <c:pt idx="4">
                  <c:v>5</c:v>
                </c:pt>
                <c:pt idx="5">
                  <c:v>0</c:v>
                </c:pt>
                <c:pt idx="6">
                  <c:v>24</c:v>
                </c:pt>
                <c:pt idx="7">
                  <c:v>17</c:v>
                </c:pt>
                <c:pt idx="8">
                  <c:v>8</c:v>
                </c:pt>
                <c:pt idx="9">
                  <c:v>8</c:v>
                </c:pt>
                <c:pt idx="10">
                  <c:v>8</c:v>
                </c:pt>
                <c:pt idx="11">
                  <c:v>8</c:v>
                </c:pt>
                <c:pt idx="12">
                  <c:v>10</c:v>
                </c:pt>
                <c:pt idx="13">
                  <c:v>8</c:v>
                </c:pt>
                <c:pt idx="14">
                  <c:v>8</c:v>
                </c:pt>
                <c:pt idx="15">
                  <c:v>14</c:v>
                </c:pt>
                <c:pt idx="16">
                  <c:v>0</c:v>
                </c:pt>
                <c:pt idx="17">
                  <c:v>6</c:v>
                </c:pt>
                <c:pt idx="18">
                  <c:v>30</c:v>
                </c:pt>
                <c:pt idx="19">
                  <c:v>8</c:v>
                </c:pt>
                <c:pt idx="20">
                  <c:v>12</c:v>
                </c:pt>
                <c:pt idx="21">
                  <c:v>12</c:v>
                </c:pt>
                <c:pt idx="22">
                  <c:v>0</c:v>
                </c:pt>
                <c:pt idx="23">
                  <c:v>8</c:v>
                </c:pt>
                <c:pt idx="24">
                  <c:v>12</c:v>
                </c:pt>
                <c:pt idx="25">
                  <c:v>12</c:v>
                </c:pt>
                <c:pt idx="26">
                  <c:v>10</c:v>
                </c:pt>
                <c:pt idx="27">
                  <c:v>10</c:v>
                </c:pt>
                <c:pt idx="28">
                  <c:v>16</c:v>
                </c:pt>
                <c:pt idx="29">
                  <c:v>16</c:v>
                </c:pt>
                <c:pt idx="30">
                  <c:v>16</c:v>
                </c:pt>
                <c:pt idx="31">
                  <c:v>25</c:v>
                </c:pt>
                <c:pt idx="32">
                  <c:v>8</c:v>
                </c:pt>
                <c:pt idx="33">
                  <c:v>10</c:v>
                </c:pt>
                <c:pt idx="34">
                  <c:v>10</c:v>
                </c:pt>
                <c:pt idx="35">
                  <c:v>0</c:v>
                </c:pt>
                <c:pt idx="36">
                  <c:v>8</c:v>
                </c:pt>
                <c:pt idx="37">
                  <c:v>8</c:v>
                </c:pt>
                <c:pt idx="38">
                  <c:v>0</c:v>
                </c:pt>
                <c:pt idx="39">
                  <c:v>16</c:v>
                </c:pt>
                <c:pt idx="40">
                  <c:v>8</c:v>
                </c:pt>
                <c:pt idx="41">
                  <c:v>8</c:v>
                </c:pt>
                <c:pt idx="42">
                  <c:v>24</c:v>
                </c:pt>
                <c:pt idx="43">
                  <c:v>0</c:v>
                </c:pt>
                <c:pt idx="44">
                  <c:v>12</c:v>
                </c:pt>
                <c:pt idx="45">
                  <c:v>16</c:v>
                </c:pt>
                <c:pt idx="46">
                  <c:v>8</c:v>
                </c:pt>
                <c:pt idx="47">
                  <c:v>16</c:v>
                </c:pt>
                <c:pt idx="48">
                  <c:v>16</c:v>
                </c:pt>
                <c:pt idx="49">
                  <c:v>8</c:v>
                </c:pt>
                <c:pt idx="50">
                  <c:v>20</c:v>
                </c:pt>
                <c:pt idx="51">
                  <c:v>0</c:v>
                </c:pt>
                <c:pt idx="52">
                  <c:v>24</c:v>
                </c:pt>
                <c:pt idx="53">
                  <c:v>6</c:v>
                </c:pt>
                <c:pt idx="54">
                  <c:v>12</c:v>
                </c:pt>
                <c:pt idx="55">
                  <c:v>0</c:v>
                </c:pt>
                <c:pt idx="56">
                  <c:v>8</c:v>
                </c:pt>
                <c:pt idx="57">
                  <c:v>30</c:v>
                </c:pt>
                <c:pt idx="58">
                  <c:v>12</c:v>
                </c:pt>
                <c:pt idx="59">
                  <c:v>8</c:v>
                </c:pt>
              </c:numCache>
            </c:numRef>
          </c:xVal>
          <c:yVal>
            <c:numRef>
              <c:f>'REGRESSION SUMMARY'!$B$25:$B$84</c:f>
              <c:numCache>
                <c:formatCode>General</c:formatCode>
                <c:ptCount val="60"/>
                <c:pt idx="0">
                  <c:v>6.5707969892539042</c:v>
                </c:pt>
                <c:pt idx="1">
                  <c:v>6.4621403277482248</c:v>
                </c:pt>
                <c:pt idx="2">
                  <c:v>6.5273343246516324</c:v>
                </c:pt>
                <c:pt idx="3">
                  <c:v>6.4621403277482248</c:v>
                </c:pt>
                <c:pt idx="4">
                  <c:v>6.4893044931246449</c:v>
                </c:pt>
                <c:pt idx="5">
                  <c:v>6.4621403277482248</c:v>
                </c:pt>
                <c:pt idx="6">
                  <c:v>6.5925283215550401</c:v>
                </c:pt>
                <c:pt idx="7">
                  <c:v>6.5544984900280525</c:v>
                </c:pt>
                <c:pt idx="8">
                  <c:v>6.5056029923504965</c:v>
                </c:pt>
                <c:pt idx="9">
                  <c:v>6.5056029923504965</c:v>
                </c:pt>
                <c:pt idx="10">
                  <c:v>6.5056029923504965</c:v>
                </c:pt>
                <c:pt idx="11">
                  <c:v>6.5056029923504965</c:v>
                </c:pt>
                <c:pt idx="12">
                  <c:v>6.5164686585010649</c:v>
                </c:pt>
                <c:pt idx="13">
                  <c:v>6.5056029923504965</c:v>
                </c:pt>
                <c:pt idx="14">
                  <c:v>6.5056029923504965</c:v>
                </c:pt>
                <c:pt idx="15">
                  <c:v>6.5381999908022008</c:v>
                </c:pt>
                <c:pt idx="16">
                  <c:v>6.4621403277482248</c:v>
                </c:pt>
                <c:pt idx="17">
                  <c:v>6.4947373261999291</c:v>
                </c:pt>
                <c:pt idx="18">
                  <c:v>6.6251253200067444</c:v>
                </c:pt>
                <c:pt idx="19">
                  <c:v>6.5056029923504965</c:v>
                </c:pt>
                <c:pt idx="20">
                  <c:v>6.5273343246516324</c:v>
                </c:pt>
                <c:pt idx="21">
                  <c:v>6.5273343246516324</c:v>
                </c:pt>
                <c:pt idx="22">
                  <c:v>6.4621403277482248</c:v>
                </c:pt>
                <c:pt idx="23">
                  <c:v>6.5056029923504965</c:v>
                </c:pt>
                <c:pt idx="24">
                  <c:v>6.5273343246516324</c:v>
                </c:pt>
                <c:pt idx="25">
                  <c:v>6.5273343246516324</c:v>
                </c:pt>
                <c:pt idx="26">
                  <c:v>6.5164686585010649</c:v>
                </c:pt>
                <c:pt idx="27">
                  <c:v>6.5164686585010649</c:v>
                </c:pt>
                <c:pt idx="28">
                  <c:v>6.5490656569527683</c:v>
                </c:pt>
                <c:pt idx="29">
                  <c:v>6.5490656569527683</c:v>
                </c:pt>
                <c:pt idx="30">
                  <c:v>6.5490656569527683</c:v>
                </c:pt>
                <c:pt idx="31">
                  <c:v>6.5979611546303243</c:v>
                </c:pt>
                <c:pt idx="32">
                  <c:v>6.5056029923504965</c:v>
                </c:pt>
                <c:pt idx="33">
                  <c:v>6.5164686585010649</c:v>
                </c:pt>
                <c:pt idx="34">
                  <c:v>6.5164686585010649</c:v>
                </c:pt>
                <c:pt idx="35">
                  <c:v>6.4621403277482248</c:v>
                </c:pt>
                <c:pt idx="36">
                  <c:v>6.5056029923504965</c:v>
                </c:pt>
                <c:pt idx="37">
                  <c:v>6.5056029923504965</c:v>
                </c:pt>
                <c:pt idx="38">
                  <c:v>6.4621403277482248</c:v>
                </c:pt>
                <c:pt idx="39">
                  <c:v>6.5490656569527683</c:v>
                </c:pt>
                <c:pt idx="40">
                  <c:v>6.5056029923504965</c:v>
                </c:pt>
                <c:pt idx="41">
                  <c:v>6.5056029923504965</c:v>
                </c:pt>
                <c:pt idx="42">
                  <c:v>6.5925283215550401</c:v>
                </c:pt>
                <c:pt idx="43">
                  <c:v>6.4621403277482248</c:v>
                </c:pt>
                <c:pt idx="44">
                  <c:v>6.5273343246516324</c:v>
                </c:pt>
                <c:pt idx="45">
                  <c:v>6.5490656569527683</c:v>
                </c:pt>
                <c:pt idx="46">
                  <c:v>6.5056029923504965</c:v>
                </c:pt>
                <c:pt idx="47">
                  <c:v>6.5490656569527683</c:v>
                </c:pt>
                <c:pt idx="48">
                  <c:v>6.5490656569527683</c:v>
                </c:pt>
                <c:pt idx="49">
                  <c:v>6.5056029923504965</c:v>
                </c:pt>
                <c:pt idx="50">
                  <c:v>6.5707969892539042</c:v>
                </c:pt>
                <c:pt idx="51">
                  <c:v>6.4621403277482248</c:v>
                </c:pt>
                <c:pt idx="52">
                  <c:v>6.5925283215550401</c:v>
                </c:pt>
                <c:pt idx="53">
                  <c:v>6.4947373261999291</c:v>
                </c:pt>
                <c:pt idx="54">
                  <c:v>6.5273343246516324</c:v>
                </c:pt>
                <c:pt idx="55">
                  <c:v>6.4621403277482248</c:v>
                </c:pt>
                <c:pt idx="56">
                  <c:v>6.5056029923504965</c:v>
                </c:pt>
                <c:pt idx="57">
                  <c:v>6.6251253200067444</c:v>
                </c:pt>
                <c:pt idx="58">
                  <c:v>6.5273343246516324</c:v>
                </c:pt>
                <c:pt idx="59">
                  <c:v>6.5056029923504965</c:v>
                </c:pt>
              </c:numCache>
            </c:numRef>
          </c:yVal>
          <c:smooth val="0"/>
          <c:extLst>
            <c:ext xmlns:c16="http://schemas.microsoft.com/office/drawing/2014/chart" uri="{C3380CC4-5D6E-409C-BE32-E72D297353CC}">
              <c16:uniqueId val="{00000005-99BB-F640-901A-36B8B7C20251}"/>
            </c:ext>
          </c:extLst>
        </c:ser>
        <c:dLbls>
          <c:showLegendKey val="0"/>
          <c:showVal val="0"/>
          <c:showCatName val="0"/>
          <c:showSerName val="0"/>
          <c:showPercent val="0"/>
          <c:showBubbleSize val="0"/>
        </c:dLbls>
        <c:axId val="1958296895"/>
        <c:axId val="1958283455"/>
      </c:scatterChart>
      <c:valAx>
        <c:axId val="1958296895"/>
        <c:scaling>
          <c:orientation val="minMax"/>
        </c:scaling>
        <c:delete val="0"/>
        <c:axPos val="b"/>
        <c:title>
          <c:tx>
            <c:rich>
              <a:bodyPr/>
              <a:lstStyle/>
              <a:p>
                <a:pPr>
                  <a:defRPr/>
                </a:pPr>
                <a:r>
                  <a:rPr lang="en-GB"/>
                  <a:t>CAFFEINE INTAKE (Oz)</a:t>
                </a:r>
              </a:p>
            </c:rich>
          </c:tx>
          <c:overlay val="0"/>
        </c:title>
        <c:numFmt formatCode="General" sourceLinked="1"/>
        <c:majorTickMark val="out"/>
        <c:minorTickMark val="none"/>
        <c:tickLblPos val="nextTo"/>
        <c:crossAx val="1958283455"/>
        <c:crosses val="autoZero"/>
        <c:crossBetween val="midCat"/>
      </c:valAx>
      <c:valAx>
        <c:axId val="1958283455"/>
        <c:scaling>
          <c:orientation val="minMax"/>
        </c:scaling>
        <c:delete val="0"/>
        <c:axPos val="l"/>
        <c:title>
          <c:tx>
            <c:rich>
              <a:bodyPr/>
              <a:lstStyle/>
              <a:p>
                <a:pPr>
                  <a:defRPr/>
                </a:pPr>
                <a:r>
                  <a:rPr lang="en-GB"/>
                  <a:t>HOURS OF SLEEP</a:t>
                </a:r>
              </a:p>
            </c:rich>
          </c:tx>
          <c:overlay val="0"/>
        </c:title>
        <c:numFmt formatCode="General" sourceLinked="1"/>
        <c:majorTickMark val="out"/>
        <c:minorTickMark val="none"/>
        <c:tickLblPos val="nextTo"/>
        <c:crossAx val="1958296895"/>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Normal Probability Plot</a:t>
            </a:r>
          </a:p>
        </c:rich>
      </c:tx>
      <c:overlay val="0"/>
    </c:title>
    <c:autoTitleDeleted val="0"/>
    <c:plotArea>
      <c:layout/>
      <c:scatterChart>
        <c:scatterStyle val="lineMarker"/>
        <c:varyColors val="0"/>
        <c:ser>
          <c:idx val="0"/>
          <c:order val="0"/>
          <c:spPr>
            <a:ln w="19050">
              <a:noFill/>
            </a:ln>
          </c:spPr>
          <c:xVal>
            <c:numRef>
              <c:f>'REGRESSION SUMMARY'!$F$25:$F$84</c:f>
              <c:numCache>
                <c:formatCode>General</c:formatCode>
                <c:ptCount val="60"/>
                <c:pt idx="0">
                  <c:v>0.83333333333333337</c:v>
                </c:pt>
                <c:pt idx="1">
                  <c:v>2.5</c:v>
                </c:pt>
                <c:pt idx="2">
                  <c:v>4.166666666666667</c:v>
                </c:pt>
                <c:pt idx="3">
                  <c:v>5.833333333333333</c:v>
                </c:pt>
                <c:pt idx="4">
                  <c:v>7.5</c:v>
                </c:pt>
                <c:pt idx="5">
                  <c:v>9.1666666666666679</c:v>
                </c:pt>
                <c:pt idx="6">
                  <c:v>10.833333333333334</c:v>
                </c:pt>
                <c:pt idx="7">
                  <c:v>12.500000000000002</c:v>
                </c:pt>
                <c:pt idx="8">
                  <c:v>14.166666666666668</c:v>
                </c:pt>
                <c:pt idx="9">
                  <c:v>15.833333333333334</c:v>
                </c:pt>
                <c:pt idx="10">
                  <c:v>17.5</c:v>
                </c:pt>
                <c:pt idx="11">
                  <c:v>19.166666666666668</c:v>
                </c:pt>
                <c:pt idx="12">
                  <c:v>20.833333333333332</c:v>
                </c:pt>
                <c:pt idx="13">
                  <c:v>22.5</c:v>
                </c:pt>
                <c:pt idx="14">
                  <c:v>24.166666666666668</c:v>
                </c:pt>
                <c:pt idx="15">
                  <c:v>25.833333333333332</c:v>
                </c:pt>
                <c:pt idx="16">
                  <c:v>27.5</c:v>
                </c:pt>
                <c:pt idx="17">
                  <c:v>29.166666666666668</c:v>
                </c:pt>
                <c:pt idx="18">
                  <c:v>30.833333333333332</c:v>
                </c:pt>
                <c:pt idx="19">
                  <c:v>32.5</c:v>
                </c:pt>
                <c:pt idx="20">
                  <c:v>34.166666666666671</c:v>
                </c:pt>
                <c:pt idx="21">
                  <c:v>35.833333333333336</c:v>
                </c:pt>
                <c:pt idx="22">
                  <c:v>37.500000000000007</c:v>
                </c:pt>
                <c:pt idx="23">
                  <c:v>39.166666666666671</c:v>
                </c:pt>
                <c:pt idx="24">
                  <c:v>40.833333333333336</c:v>
                </c:pt>
                <c:pt idx="25">
                  <c:v>42.500000000000007</c:v>
                </c:pt>
                <c:pt idx="26">
                  <c:v>44.166666666666671</c:v>
                </c:pt>
                <c:pt idx="27">
                  <c:v>45.833333333333336</c:v>
                </c:pt>
                <c:pt idx="28">
                  <c:v>47.500000000000007</c:v>
                </c:pt>
                <c:pt idx="29">
                  <c:v>49.166666666666671</c:v>
                </c:pt>
                <c:pt idx="30">
                  <c:v>50.833333333333336</c:v>
                </c:pt>
                <c:pt idx="31">
                  <c:v>52.500000000000007</c:v>
                </c:pt>
                <c:pt idx="32">
                  <c:v>54.166666666666671</c:v>
                </c:pt>
                <c:pt idx="33">
                  <c:v>55.833333333333336</c:v>
                </c:pt>
                <c:pt idx="34">
                  <c:v>57.500000000000007</c:v>
                </c:pt>
                <c:pt idx="35">
                  <c:v>59.166666666666671</c:v>
                </c:pt>
                <c:pt idx="36">
                  <c:v>60.833333333333336</c:v>
                </c:pt>
                <c:pt idx="37">
                  <c:v>62.500000000000007</c:v>
                </c:pt>
                <c:pt idx="38">
                  <c:v>64.166666666666671</c:v>
                </c:pt>
                <c:pt idx="39">
                  <c:v>65.833333333333329</c:v>
                </c:pt>
                <c:pt idx="40">
                  <c:v>67.5</c:v>
                </c:pt>
                <c:pt idx="41">
                  <c:v>69.166666666666671</c:v>
                </c:pt>
                <c:pt idx="42">
                  <c:v>70.833333333333329</c:v>
                </c:pt>
                <c:pt idx="43">
                  <c:v>72.5</c:v>
                </c:pt>
                <c:pt idx="44">
                  <c:v>74.166666666666671</c:v>
                </c:pt>
                <c:pt idx="45">
                  <c:v>75.833333333333329</c:v>
                </c:pt>
                <c:pt idx="46">
                  <c:v>77.5</c:v>
                </c:pt>
                <c:pt idx="47">
                  <c:v>79.166666666666671</c:v>
                </c:pt>
                <c:pt idx="48">
                  <c:v>80.833333333333329</c:v>
                </c:pt>
                <c:pt idx="49">
                  <c:v>82.5</c:v>
                </c:pt>
                <c:pt idx="50">
                  <c:v>84.166666666666671</c:v>
                </c:pt>
                <c:pt idx="51">
                  <c:v>85.833333333333329</c:v>
                </c:pt>
                <c:pt idx="52">
                  <c:v>87.5</c:v>
                </c:pt>
                <c:pt idx="53">
                  <c:v>89.166666666666671</c:v>
                </c:pt>
                <c:pt idx="54">
                  <c:v>90.833333333333329</c:v>
                </c:pt>
                <c:pt idx="55">
                  <c:v>92.5</c:v>
                </c:pt>
                <c:pt idx="56">
                  <c:v>94.166666666666671</c:v>
                </c:pt>
                <c:pt idx="57">
                  <c:v>95.833333333333329</c:v>
                </c:pt>
                <c:pt idx="58">
                  <c:v>97.5</c:v>
                </c:pt>
                <c:pt idx="59">
                  <c:v>99.166666666666671</c:v>
                </c:pt>
              </c:numCache>
            </c:numRef>
          </c:xVal>
          <c:yVal>
            <c:numRef>
              <c:f>'REGRESSION SUMMARY'!$G$25:$G$84</c:f>
              <c:numCache>
                <c:formatCode>General</c:formatCode>
                <c:ptCount val="60"/>
                <c:pt idx="0">
                  <c:v>4</c:v>
                </c:pt>
                <c:pt idx="1">
                  <c:v>4</c:v>
                </c:pt>
                <c:pt idx="2">
                  <c:v>5</c:v>
                </c:pt>
                <c:pt idx="3">
                  <c:v>5</c:v>
                </c:pt>
                <c:pt idx="4">
                  <c:v>5</c:v>
                </c:pt>
                <c:pt idx="5">
                  <c:v>5</c:v>
                </c:pt>
                <c:pt idx="6">
                  <c:v>5</c:v>
                </c:pt>
                <c:pt idx="7">
                  <c:v>5</c:v>
                </c:pt>
                <c:pt idx="8">
                  <c:v>5</c:v>
                </c:pt>
                <c:pt idx="9">
                  <c:v>5</c:v>
                </c:pt>
                <c:pt idx="10">
                  <c:v>5</c:v>
                </c:pt>
                <c:pt idx="11">
                  <c:v>5.5</c:v>
                </c:pt>
                <c:pt idx="12">
                  <c:v>5.5</c:v>
                </c:pt>
                <c:pt idx="13">
                  <c:v>6</c:v>
                </c:pt>
                <c:pt idx="14">
                  <c:v>6</c:v>
                </c:pt>
                <c:pt idx="15">
                  <c:v>6</c:v>
                </c:pt>
                <c:pt idx="16">
                  <c:v>6</c:v>
                </c:pt>
                <c:pt idx="17">
                  <c:v>6</c:v>
                </c:pt>
                <c:pt idx="18">
                  <c:v>6</c:v>
                </c:pt>
                <c:pt idx="19">
                  <c:v>6</c:v>
                </c:pt>
                <c:pt idx="20">
                  <c:v>6</c:v>
                </c:pt>
                <c:pt idx="21">
                  <c:v>6</c:v>
                </c:pt>
                <c:pt idx="22">
                  <c:v>6</c:v>
                </c:pt>
                <c:pt idx="23">
                  <c:v>6</c:v>
                </c:pt>
                <c:pt idx="24">
                  <c:v>6</c:v>
                </c:pt>
                <c:pt idx="25">
                  <c:v>6</c:v>
                </c:pt>
                <c:pt idx="26">
                  <c:v>6.5</c:v>
                </c:pt>
                <c:pt idx="27">
                  <c:v>6.7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8</c:v>
                </c:pt>
                <c:pt idx="50">
                  <c:v>8</c:v>
                </c:pt>
                <c:pt idx="51">
                  <c:v>8</c:v>
                </c:pt>
                <c:pt idx="52">
                  <c:v>8</c:v>
                </c:pt>
                <c:pt idx="53">
                  <c:v>8</c:v>
                </c:pt>
                <c:pt idx="54">
                  <c:v>8</c:v>
                </c:pt>
                <c:pt idx="55">
                  <c:v>8</c:v>
                </c:pt>
                <c:pt idx="56">
                  <c:v>8</c:v>
                </c:pt>
                <c:pt idx="57">
                  <c:v>8</c:v>
                </c:pt>
                <c:pt idx="58">
                  <c:v>8</c:v>
                </c:pt>
                <c:pt idx="59">
                  <c:v>9</c:v>
                </c:pt>
              </c:numCache>
            </c:numRef>
          </c:yVal>
          <c:smooth val="0"/>
          <c:extLst>
            <c:ext xmlns:c16="http://schemas.microsoft.com/office/drawing/2014/chart" uri="{C3380CC4-5D6E-409C-BE32-E72D297353CC}">
              <c16:uniqueId val="{00000001-63BC-B741-A978-DAF30CB0935E}"/>
            </c:ext>
          </c:extLst>
        </c:ser>
        <c:dLbls>
          <c:showLegendKey val="0"/>
          <c:showVal val="0"/>
          <c:showCatName val="0"/>
          <c:showSerName val="0"/>
          <c:showPercent val="0"/>
          <c:showBubbleSize val="0"/>
        </c:dLbls>
        <c:axId val="1958244159"/>
        <c:axId val="1956659647"/>
      </c:scatterChart>
      <c:valAx>
        <c:axId val="1958244159"/>
        <c:scaling>
          <c:orientation val="minMax"/>
        </c:scaling>
        <c:delete val="0"/>
        <c:axPos val="b"/>
        <c:title>
          <c:tx>
            <c:rich>
              <a:bodyPr/>
              <a:lstStyle/>
              <a:p>
                <a:pPr>
                  <a:defRPr/>
                </a:pPr>
                <a:r>
                  <a:rPr lang="en-GB"/>
                  <a:t>Sample Percentile</a:t>
                </a:r>
              </a:p>
            </c:rich>
          </c:tx>
          <c:overlay val="0"/>
        </c:title>
        <c:numFmt formatCode="General" sourceLinked="1"/>
        <c:majorTickMark val="out"/>
        <c:minorTickMark val="none"/>
        <c:tickLblPos val="nextTo"/>
        <c:crossAx val="1956659647"/>
        <c:crosses val="autoZero"/>
        <c:crossBetween val="midCat"/>
      </c:valAx>
      <c:valAx>
        <c:axId val="1956659647"/>
        <c:scaling>
          <c:orientation val="minMax"/>
        </c:scaling>
        <c:delete val="0"/>
        <c:axPos val="l"/>
        <c:title>
          <c:tx>
            <c:rich>
              <a:bodyPr/>
              <a:lstStyle/>
              <a:p>
                <a:pPr>
                  <a:defRPr/>
                </a:pPr>
                <a:r>
                  <a:rPr lang="en-GB"/>
                  <a:t>HOURS OF SLEEP</a:t>
                </a:r>
              </a:p>
            </c:rich>
          </c:tx>
          <c:overlay val="0"/>
        </c:title>
        <c:numFmt formatCode="General" sourceLinked="1"/>
        <c:majorTickMark val="out"/>
        <c:minorTickMark val="none"/>
        <c:tickLblPos val="nextTo"/>
        <c:crossAx val="195824415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Hours</a:t>
            </a:r>
            <a:r>
              <a:rPr lang="en-US" baseline="0"/>
              <a:t> Slept vs Average Caffeine Intake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CHART'!$E$1</c:f>
              <c:strCache>
                <c:ptCount val="1"/>
                <c:pt idx="0">
                  <c:v>Average Caffeine Intake (Oz)</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'SCATTER CHART'!$D$2:$D$10</c:f>
              <c:numCache>
                <c:formatCode>General</c:formatCode>
                <c:ptCount val="9"/>
                <c:pt idx="0">
                  <c:v>4</c:v>
                </c:pt>
                <c:pt idx="1">
                  <c:v>5</c:v>
                </c:pt>
                <c:pt idx="2">
                  <c:v>5.5</c:v>
                </c:pt>
                <c:pt idx="3">
                  <c:v>6</c:v>
                </c:pt>
                <c:pt idx="4">
                  <c:v>6.5</c:v>
                </c:pt>
                <c:pt idx="5">
                  <c:v>6.7</c:v>
                </c:pt>
                <c:pt idx="6">
                  <c:v>7</c:v>
                </c:pt>
                <c:pt idx="7">
                  <c:v>8</c:v>
                </c:pt>
                <c:pt idx="8">
                  <c:v>9</c:v>
                </c:pt>
              </c:numCache>
            </c:numRef>
          </c:xVal>
          <c:yVal>
            <c:numRef>
              <c:f>'SCATTER CHART'!$E$2:$E$10</c:f>
              <c:numCache>
                <c:formatCode>General</c:formatCode>
                <c:ptCount val="9"/>
                <c:pt idx="0">
                  <c:v>6</c:v>
                </c:pt>
                <c:pt idx="1">
                  <c:v>11.222222222222221</c:v>
                </c:pt>
                <c:pt idx="2">
                  <c:v>4</c:v>
                </c:pt>
                <c:pt idx="3">
                  <c:v>12.692307692307692</c:v>
                </c:pt>
                <c:pt idx="4">
                  <c:v>16</c:v>
                </c:pt>
                <c:pt idx="5">
                  <c:v>0</c:v>
                </c:pt>
                <c:pt idx="6">
                  <c:v>10.047619047619047</c:v>
                </c:pt>
                <c:pt idx="7">
                  <c:v>11.8</c:v>
                </c:pt>
                <c:pt idx="8">
                  <c:v>8</c:v>
                </c:pt>
              </c:numCache>
            </c:numRef>
          </c:yVal>
          <c:smooth val="0"/>
          <c:extLst>
            <c:ext xmlns:c16="http://schemas.microsoft.com/office/drawing/2014/chart" uri="{C3380CC4-5D6E-409C-BE32-E72D297353CC}">
              <c16:uniqueId val="{00000000-AC80-4B79-BB01-B6EC316E5387}"/>
            </c:ext>
          </c:extLst>
        </c:ser>
        <c:dLbls>
          <c:showLegendKey val="0"/>
          <c:showVal val="0"/>
          <c:showCatName val="0"/>
          <c:showSerName val="0"/>
          <c:showPercent val="0"/>
          <c:showBubbleSize val="0"/>
        </c:dLbls>
        <c:axId val="2094493535"/>
        <c:axId val="135681775"/>
      </c:scatterChart>
      <c:valAx>
        <c:axId val="2094493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Hours of Sleep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81775"/>
        <c:crosses val="autoZero"/>
        <c:crossBetween val="midCat"/>
      </c:valAx>
      <c:valAx>
        <c:axId val="135681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Caffeine Intake (Oz)</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493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Caffeine Intake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'BAR CHART'!$E$1</c:f>
              <c:strCache>
                <c:ptCount val="1"/>
                <c:pt idx="0">
                  <c:v>Average Caffeine</c:v>
                </c:pt>
              </c:strCache>
            </c:strRef>
          </c:tx>
          <c:spPr>
            <a:solidFill>
              <a:schemeClr val="accent1"/>
            </a:solidFill>
            <a:ln>
              <a:noFill/>
            </a:ln>
            <a:effectLst/>
          </c:spPr>
          <c:invertIfNegative val="0"/>
          <c:cat>
            <c:numRef>
              <c:f>'BAR CHART'!$D$2:$D$14</c:f>
              <c:numCache>
                <c:formatCode>General</c:formatCode>
                <c:ptCount val="13"/>
                <c:pt idx="0">
                  <c:v>17</c:v>
                </c:pt>
                <c:pt idx="1">
                  <c:v>18</c:v>
                </c:pt>
                <c:pt idx="2">
                  <c:v>19</c:v>
                </c:pt>
                <c:pt idx="3">
                  <c:v>20</c:v>
                </c:pt>
                <c:pt idx="4">
                  <c:v>21</c:v>
                </c:pt>
                <c:pt idx="5">
                  <c:v>22</c:v>
                </c:pt>
                <c:pt idx="6">
                  <c:v>23</c:v>
                </c:pt>
                <c:pt idx="7">
                  <c:v>24</c:v>
                </c:pt>
                <c:pt idx="8">
                  <c:v>25</c:v>
                </c:pt>
                <c:pt idx="9">
                  <c:v>26</c:v>
                </c:pt>
                <c:pt idx="10">
                  <c:v>27</c:v>
                </c:pt>
                <c:pt idx="11">
                  <c:v>28</c:v>
                </c:pt>
                <c:pt idx="12">
                  <c:v>42</c:v>
                </c:pt>
              </c:numCache>
            </c:numRef>
          </c:cat>
          <c:val>
            <c:numRef>
              <c:f>'BAR CHART'!$E$2:$E$14</c:f>
              <c:numCache>
                <c:formatCode>General</c:formatCode>
                <c:ptCount val="13"/>
                <c:pt idx="0">
                  <c:v>10</c:v>
                </c:pt>
                <c:pt idx="1">
                  <c:v>4.5</c:v>
                </c:pt>
                <c:pt idx="2">
                  <c:v>12.333333333333334</c:v>
                </c:pt>
                <c:pt idx="3">
                  <c:v>12.875</c:v>
                </c:pt>
                <c:pt idx="4">
                  <c:v>7.666666666666667</c:v>
                </c:pt>
                <c:pt idx="5">
                  <c:v>11.3</c:v>
                </c:pt>
                <c:pt idx="6">
                  <c:v>15.333333333333334</c:v>
                </c:pt>
                <c:pt idx="7">
                  <c:v>8</c:v>
                </c:pt>
                <c:pt idx="8">
                  <c:v>5.5</c:v>
                </c:pt>
                <c:pt idx="9">
                  <c:v>9.5</c:v>
                </c:pt>
                <c:pt idx="10">
                  <c:v>14</c:v>
                </c:pt>
                <c:pt idx="11">
                  <c:v>12</c:v>
                </c:pt>
                <c:pt idx="12">
                  <c:v>24</c:v>
                </c:pt>
              </c:numCache>
            </c:numRef>
          </c:val>
          <c:extLst>
            <c:ext xmlns:c16="http://schemas.microsoft.com/office/drawing/2014/chart" uri="{C3380CC4-5D6E-409C-BE32-E72D297353CC}">
              <c16:uniqueId val="{00000000-6668-481C-8A68-65075DE9C15D}"/>
            </c:ext>
          </c:extLst>
        </c:ser>
        <c:dLbls>
          <c:showLegendKey val="0"/>
          <c:showVal val="0"/>
          <c:showCatName val="0"/>
          <c:showSerName val="0"/>
          <c:showPercent val="0"/>
          <c:showBubbleSize val="0"/>
        </c:dLbls>
        <c:gapWidth val="182"/>
        <c:axId val="191082911"/>
        <c:axId val="135606895"/>
      </c:barChart>
      <c:catAx>
        <c:axId val="1910829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6895"/>
        <c:crosses val="autoZero"/>
        <c:auto val="1"/>
        <c:lblAlgn val="ctr"/>
        <c:lblOffset val="100"/>
        <c:noMultiLvlLbl val="0"/>
      </c:catAx>
      <c:valAx>
        <c:axId val="1356068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Caffeine Intake (Oz)</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82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Hours Slept per Night</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Distribution of Hours Slept per Night</a:t>
          </a:r>
        </a:p>
      </cx:txPr>
    </cx:title>
    <cx:plotArea>
      <cx:plotAreaRegion>
        <cx:series layoutId="clusteredColumn" uniqueId="{6E41ACEC-80E6-47D0-B918-144A5811A265}">
          <cx:tx>
            <cx:txData>
              <cx:f>_xlchart.v1.0</cx:f>
              <cx:v>HOURS OF SLEEP</cx:v>
            </cx:txData>
          </cx:tx>
          <cx:dataId val="0"/>
          <cx:layoutPr>
            <cx:binning intervalClosed="r"/>
          </cx:layoutPr>
        </cx:series>
      </cx:plotAreaRegion>
      <cx:axis id="0">
        <cx:catScaling gapWidth="0"/>
        <cx:title>
          <cx:tx>
            <cx:txData>
              <cx:v>Hours of Sleep</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Arial"/>
                  <a:cs typeface="Arial"/>
                </a:rPr>
                <a:t>Hours of Sleep</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Frequency of Responses</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Arial"/>
                  <a:cs typeface="Arial"/>
                </a:rPr>
                <a:t>Frequency of Responses</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444500</xdr:colOff>
      <xdr:row>18</xdr:row>
      <xdr:rowOff>0</xdr:rowOff>
    </xdr:from>
    <xdr:to>
      <xdr:col>16</xdr:col>
      <xdr:colOff>444500</xdr:colOff>
      <xdr:row>28</xdr:row>
      <xdr:rowOff>25400</xdr:rowOff>
    </xdr:to>
    <xdr:graphicFrame macro="">
      <xdr:nvGraphicFramePr>
        <xdr:cNvPr id="2" name="Chart 1">
          <a:extLst>
            <a:ext uri="{FF2B5EF4-FFF2-40B4-BE49-F238E27FC236}">
              <a16:creationId xmlns:a16="http://schemas.microsoft.com/office/drawing/2014/main" id="{3E82EA1D-1ADD-62AF-D140-99F167026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495300</xdr:colOff>
      <xdr:row>28</xdr:row>
      <xdr:rowOff>88900</xdr:rowOff>
    </xdr:from>
    <xdr:to>
      <xdr:col>16</xdr:col>
      <xdr:colOff>495300</xdr:colOff>
      <xdr:row>38</xdr:row>
      <xdr:rowOff>114300</xdr:rowOff>
    </xdr:to>
    <xdr:graphicFrame macro="">
      <xdr:nvGraphicFramePr>
        <xdr:cNvPr id="3" name="Chart 2">
          <a:extLst>
            <a:ext uri="{FF2B5EF4-FFF2-40B4-BE49-F238E27FC236}">
              <a16:creationId xmlns:a16="http://schemas.microsoft.com/office/drawing/2014/main" id="{374E6D51-D8DB-3392-EFD7-B259B58EF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698500</xdr:colOff>
      <xdr:row>40</xdr:row>
      <xdr:rowOff>76200</xdr:rowOff>
    </xdr:from>
    <xdr:to>
      <xdr:col>16</xdr:col>
      <xdr:colOff>698500</xdr:colOff>
      <xdr:row>50</xdr:row>
      <xdr:rowOff>114300</xdr:rowOff>
    </xdr:to>
    <xdr:graphicFrame macro="">
      <xdr:nvGraphicFramePr>
        <xdr:cNvPr id="4" name="Chart 3">
          <a:extLst>
            <a:ext uri="{FF2B5EF4-FFF2-40B4-BE49-F238E27FC236}">
              <a16:creationId xmlns:a16="http://schemas.microsoft.com/office/drawing/2014/main" id="{71C0E2FC-C053-7543-D97A-FCADA9D5E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304799</xdr:colOff>
      <xdr:row>12</xdr:row>
      <xdr:rowOff>76199</xdr:rowOff>
    </xdr:from>
    <xdr:to>
      <xdr:col>9</xdr:col>
      <xdr:colOff>295274</xdr:colOff>
      <xdr:row>37</xdr:row>
      <xdr:rowOff>38099</xdr:rowOff>
    </xdr:to>
    <xdr:graphicFrame macro="">
      <xdr:nvGraphicFramePr>
        <xdr:cNvPr id="2" name="Chart 1">
          <a:extLst>
            <a:ext uri="{FF2B5EF4-FFF2-40B4-BE49-F238E27FC236}">
              <a16:creationId xmlns:a16="http://schemas.microsoft.com/office/drawing/2014/main" id="{2EF17349-7E17-4FEC-BA26-7F1000254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295274</xdr:colOff>
      <xdr:row>6</xdr:row>
      <xdr:rowOff>66675</xdr:rowOff>
    </xdr:from>
    <xdr:to>
      <xdr:col>10</xdr:col>
      <xdr:colOff>266699</xdr:colOff>
      <xdr:row>26</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15E2146-009F-40A4-A5DA-5C0D4A6481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27274" y="1057275"/>
              <a:ext cx="6029325" cy="3359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17</xdr:row>
      <xdr:rowOff>9525</xdr:rowOff>
    </xdr:from>
    <xdr:to>
      <xdr:col>11</xdr:col>
      <xdr:colOff>57150</xdr:colOff>
      <xdr:row>37</xdr:row>
      <xdr:rowOff>47625</xdr:rowOff>
    </xdr:to>
    <xdr:graphicFrame macro="">
      <xdr:nvGraphicFramePr>
        <xdr:cNvPr id="2" name="Chart 1">
          <a:extLst>
            <a:ext uri="{FF2B5EF4-FFF2-40B4-BE49-F238E27FC236}">
              <a16:creationId xmlns:a16="http://schemas.microsoft.com/office/drawing/2014/main" id="{8EE770E7-F742-4EFA-973F-1E3E6EBBD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montclair0-my.sharepoint.com/Users/amandajeffery/Downloads/PROJECT%20DATA%20INFO%20240%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ra Abdallah" refreshedDate="45975.859838888886" createdVersion="6" refreshedVersion="6" minRefreshableVersion="3" recordCount="60" xr:uid="{7398F476-891C-4165-86D1-6FF4F87CB647}">
  <cacheSource type="worksheet">
    <worksheetSource ref="A1:B61" sheet="Sheet1" r:id="rId2"/>
  </cacheSource>
  <cacheFields count="2">
    <cacheField name="EMPLOYMENT" numFmtId="0">
      <sharedItems count="2">
        <s v="Yes"/>
        <s v="No"/>
      </sharedItems>
    </cacheField>
    <cacheField name="STRESS AFFECTED SLEEP" numFmtId="0">
      <sharedItems count="2">
        <s v="Yes"/>
        <s v="N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r>
  <r>
    <x v="0"/>
    <x v="0"/>
  </r>
  <r>
    <x v="0"/>
    <x v="0"/>
  </r>
  <r>
    <x v="0"/>
    <x v="0"/>
  </r>
  <r>
    <x v="0"/>
    <x v="0"/>
  </r>
  <r>
    <x v="0"/>
    <x v="0"/>
  </r>
  <r>
    <x v="0"/>
    <x v="0"/>
  </r>
  <r>
    <x v="0"/>
    <x v="1"/>
  </r>
  <r>
    <x v="0"/>
    <x v="0"/>
  </r>
  <r>
    <x v="0"/>
    <x v="0"/>
  </r>
  <r>
    <x v="0"/>
    <x v="0"/>
  </r>
  <r>
    <x v="0"/>
    <x v="0"/>
  </r>
  <r>
    <x v="0"/>
    <x v="0"/>
  </r>
  <r>
    <x v="0"/>
    <x v="1"/>
  </r>
  <r>
    <x v="0"/>
    <x v="0"/>
  </r>
  <r>
    <x v="0"/>
    <x v="0"/>
  </r>
  <r>
    <x v="0"/>
    <x v="0"/>
  </r>
  <r>
    <x v="0"/>
    <x v="0"/>
  </r>
  <r>
    <x v="0"/>
    <x v="0"/>
  </r>
  <r>
    <x v="1"/>
    <x v="1"/>
  </r>
  <r>
    <x v="1"/>
    <x v="0"/>
  </r>
  <r>
    <x v="1"/>
    <x v="0"/>
  </r>
  <r>
    <x v="0"/>
    <x v="1"/>
  </r>
  <r>
    <x v="0"/>
    <x v="0"/>
  </r>
  <r>
    <x v="0"/>
    <x v="0"/>
  </r>
  <r>
    <x v="0"/>
    <x v="0"/>
  </r>
  <r>
    <x v="1"/>
    <x v="0"/>
  </r>
  <r>
    <x v="0"/>
    <x v="0"/>
  </r>
  <r>
    <x v="0"/>
    <x v="0"/>
  </r>
  <r>
    <x v="0"/>
    <x v="0"/>
  </r>
  <r>
    <x v="0"/>
    <x v="0"/>
  </r>
  <r>
    <x v="1"/>
    <x v="0"/>
  </r>
  <r>
    <x v="0"/>
    <x v="0"/>
  </r>
  <r>
    <x v="0"/>
    <x v="0"/>
  </r>
  <r>
    <x v="0"/>
    <x v="0"/>
  </r>
  <r>
    <x v="1"/>
    <x v="0"/>
  </r>
  <r>
    <x v="0"/>
    <x v="0"/>
  </r>
  <r>
    <x v="0"/>
    <x v="0"/>
  </r>
  <r>
    <x v="0"/>
    <x v="1"/>
  </r>
  <r>
    <x v="0"/>
    <x v="0"/>
  </r>
  <r>
    <x v="1"/>
    <x v="0"/>
  </r>
  <r>
    <x v="0"/>
    <x v="0"/>
  </r>
  <r>
    <x v="0"/>
    <x v="0"/>
  </r>
  <r>
    <x v="1"/>
    <x v="0"/>
  </r>
  <r>
    <x v="0"/>
    <x v="0"/>
  </r>
  <r>
    <x v="0"/>
    <x v="0"/>
  </r>
  <r>
    <x v="0"/>
    <x v="0"/>
  </r>
  <r>
    <x v="0"/>
    <x v="0"/>
  </r>
  <r>
    <x v="0"/>
    <x v="0"/>
  </r>
  <r>
    <x v="0"/>
    <x v="0"/>
  </r>
  <r>
    <x v="1"/>
    <x v="1"/>
  </r>
  <r>
    <x v="0"/>
    <x v="1"/>
  </r>
  <r>
    <x v="0"/>
    <x v="0"/>
  </r>
  <r>
    <x v="0"/>
    <x v="1"/>
  </r>
  <r>
    <x v="0"/>
    <x v="0"/>
  </r>
  <r>
    <x v="0"/>
    <x v="0"/>
  </r>
  <r>
    <x v="0"/>
    <x v="0"/>
  </r>
  <r>
    <x v="0"/>
    <x v="0"/>
  </r>
  <r>
    <x v="0"/>
    <x v="0"/>
  </r>
  <r>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435596-1CC1-49FF-8F40-1AB39919411D}" name="PivotTable1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ress Affected Sleep" colHeaderCaption="Employment">
  <location ref="A1:D5" firstHeaderRow="1" firstDataRow="2" firstDataCol="1"/>
  <pivotFields count="2">
    <pivotField axis="axisCol" showAll="0">
      <items count="3">
        <item x="1"/>
        <item x="0"/>
        <item t="default"/>
      </items>
    </pivotField>
    <pivotField axis="axisRow" dataField="1" showAll="0">
      <items count="3">
        <item x="1"/>
        <item x="0"/>
        <item t="default"/>
      </items>
    </pivotField>
  </pivotFields>
  <rowFields count="1">
    <field x="1"/>
  </rowFields>
  <rowItems count="3">
    <i>
      <x/>
    </i>
    <i>
      <x v="1"/>
    </i>
    <i t="grand">
      <x/>
    </i>
  </rowItems>
  <colFields count="1">
    <field x="0"/>
  </colFields>
  <colItems count="3">
    <i>
      <x/>
    </i>
    <i>
      <x v="1"/>
    </i>
    <i t="grand">
      <x/>
    </i>
  </colItems>
  <dataFields count="1">
    <dataField name="Emplyment vs Stress Affecting Sleep" fld="1" subtotal="count" baseField="0" baseItem="0"/>
  </dataFields>
  <formats count="4">
    <format dxfId="4">
      <pivotArea type="origin" dataOnly="0" labelOnly="1" outline="0" fieldPosition="0"/>
    </format>
    <format dxfId="3">
      <pivotArea type="origin" dataOnly="0" labelOnly="1" outline="0" fieldPosition="0"/>
    </format>
    <format dxfId="2">
      <pivotArea type="origin" dataOnly="0" labelOnly="1" outline="0" fieldPosition="0"/>
    </format>
    <format dxfId="1">
      <pivotArea type="origin" dataOnly="0" labelOnly="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B1:L61" headerRowDxfId="0">
  <tableColumns count="11">
    <tableColumn id="5" xr3:uid="{00000000-0010-0000-0000-000005000000}" name="AGE"/>
    <tableColumn id="6" xr3:uid="{00000000-0010-0000-0000-000006000000}" name="EMPLOYMENT"/>
    <tableColumn id="8" xr3:uid="{00000000-0010-0000-0000-000008000000}" name="HOURS OF SLEEP"/>
    <tableColumn id="10" xr3:uid="{00000000-0010-0000-0000-00000A000000}" name="CAFFEINE INTAKE (Oz)"/>
    <tableColumn id="12" xr3:uid="{00000000-0010-0000-0000-00000C000000}" name="BALANCED DIET"/>
    <tableColumn id="14" xr3:uid="{00000000-0010-0000-0000-00000E000000}" name="DIET EFFECT"/>
    <tableColumn id="17" xr3:uid="{00000000-0010-0000-0000-000011000000}" name="WORKOUT VOLUME (DAYS/WEEK)"/>
    <tableColumn id="21" xr3:uid="{00000000-0010-0000-0000-000015000000}" name="TIME USED TECH (MIN)"/>
    <tableColumn id="23" xr3:uid="{00000000-0010-0000-0000-000017000000}" name="TIME UNDER STRESS (DAYS/WEEK)"/>
    <tableColumn id="1" xr3:uid="{C21C3991-A2A8-4570-9179-6DE124E5E41B}" name="STRESS AFFECTED SLEEP" dataDxfId="5"/>
    <tableColumn id="24" xr3:uid="{00000000-0010-0000-0000-000018000000}" name="TIME UNDER REST (DAYS/WEEK)"/>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61"/>
  <sheetViews>
    <sheetView zoomScale="150" workbookViewId="0">
      <pane ySplit="1" topLeftCell="A2" activePane="bottomLeft" state="frozen"/>
      <selection pane="bottomLeft" activeCell="B3" sqref="B3"/>
    </sheetView>
  </sheetViews>
  <sheetFormatPr baseColWidth="10" defaultColWidth="12.6640625" defaultRowHeight="15.75" customHeight="1" x14ac:dyDescent="0.15"/>
  <cols>
    <col min="2" max="2" width="18.83203125" customWidth="1"/>
    <col min="3" max="3" width="26.6640625" customWidth="1"/>
    <col min="4" max="12" width="37.6640625" customWidth="1"/>
    <col min="13" max="18" width="18.83203125" customWidth="1"/>
  </cols>
  <sheetData>
    <row r="1" spans="1:12" ht="22.5" customHeight="1" x14ac:dyDescent="0.15">
      <c r="A1" s="72" t="s">
        <v>123</v>
      </c>
      <c r="B1" s="72" t="s">
        <v>0</v>
      </c>
      <c r="C1" s="72" t="s">
        <v>1</v>
      </c>
      <c r="D1" s="72" t="s">
        <v>2</v>
      </c>
      <c r="E1" s="72" t="s">
        <v>3</v>
      </c>
      <c r="F1" s="72" t="s">
        <v>4</v>
      </c>
      <c r="G1" s="72" t="s">
        <v>5</v>
      </c>
      <c r="H1" s="72" t="s">
        <v>6</v>
      </c>
      <c r="I1" s="72" t="s">
        <v>7</v>
      </c>
      <c r="J1" s="72" t="s">
        <v>8</v>
      </c>
      <c r="K1" s="72" t="s">
        <v>9</v>
      </c>
      <c r="L1" s="72" t="s">
        <v>10</v>
      </c>
    </row>
    <row r="2" spans="1:12" ht="22.5" customHeight="1" x14ac:dyDescent="0.15">
      <c r="A2" s="74">
        <v>1</v>
      </c>
      <c r="B2" s="73">
        <v>22</v>
      </c>
      <c r="C2" s="1" t="s">
        <v>11</v>
      </c>
      <c r="D2" s="1">
        <v>6</v>
      </c>
      <c r="E2" s="1">
        <v>20</v>
      </c>
      <c r="F2" s="1" t="s">
        <v>12</v>
      </c>
      <c r="G2" s="1" t="s">
        <v>12</v>
      </c>
      <c r="H2" s="1">
        <v>0</v>
      </c>
      <c r="I2" s="1">
        <v>120</v>
      </c>
      <c r="J2" s="1">
        <v>7</v>
      </c>
      <c r="K2" s="1" t="s">
        <v>11</v>
      </c>
      <c r="L2" s="1">
        <v>2</v>
      </c>
    </row>
    <row r="3" spans="1:12" ht="22.5" customHeight="1" x14ac:dyDescent="0.15">
      <c r="A3" s="74">
        <v>2</v>
      </c>
      <c r="B3" s="73">
        <v>21</v>
      </c>
      <c r="C3" s="1" t="s">
        <v>11</v>
      </c>
      <c r="D3" s="2">
        <v>7</v>
      </c>
      <c r="E3" s="1">
        <v>0</v>
      </c>
      <c r="F3" s="1" t="s">
        <v>11</v>
      </c>
      <c r="G3" s="1" t="s">
        <v>12</v>
      </c>
      <c r="H3" s="1">
        <v>2</v>
      </c>
      <c r="I3" s="1">
        <v>20</v>
      </c>
      <c r="J3" s="1">
        <v>3</v>
      </c>
      <c r="K3" s="1" t="s">
        <v>11</v>
      </c>
      <c r="L3" s="1">
        <v>1</v>
      </c>
    </row>
    <row r="4" spans="1:12" ht="22.5" customHeight="1" x14ac:dyDescent="0.15">
      <c r="A4" s="74">
        <v>3</v>
      </c>
      <c r="B4" s="73">
        <v>22</v>
      </c>
      <c r="C4" s="1" t="s">
        <v>11</v>
      </c>
      <c r="D4" s="1">
        <v>7</v>
      </c>
      <c r="E4" s="1">
        <v>12</v>
      </c>
      <c r="F4" s="1" t="s">
        <v>11</v>
      </c>
      <c r="G4" s="1" t="s">
        <v>12</v>
      </c>
      <c r="H4" s="1">
        <v>0</v>
      </c>
      <c r="I4" s="1">
        <v>80</v>
      </c>
      <c r="J4" s="1">
        <v>5</v>
      </c>
      <c r="K4" s="1" t="s">
        <v>11</v>
      </c>
      <c r="L4" s="1">
        <v>0</v>
      </c>
    </row>
    <row r="5" spans="1:12" ht="22.5" customHeight="1" x14ac:dyDescent="0.15">
      <c r="A5" s="74">
        <v>4</v>
      </c>
      <c r="B5" s="73">
        <v>22</v>
      </c>
      <c r="C5" s="1" t="s">
        <v>11</v>
      </c>
      <c r="D5" s="1">
        <v>5.5</v>
      </c>
      <c r="E5" s="1">
        <v>0</v>
      </c>
      <c r="F5" s="1" t="s">
        <v>11</v>
      </c>
      <c r="G5" s="1" t="s">
        <v>12</v>
      </c>
      <c r="H5" s="1">
        <v>5</v>
      </c>
      <c r="I5" s="1">
        <v>30</v>
      </c>
      <c r="J5" s="1">
        <v>7</v>
      </c>
      <c r="K5" s="1" t="s">
        <v>11</v>
      </c>
      <c r="L5" s="1">
        <v>0</v>
      </c>
    </row>
    <row r="6" spans="1:12" ht="22.5" customHeight="1" x14ac:dyDescent="0.15">
      <c r="A6" s="74">
        <v>5</v>
      </c>
      <c r="B6" s="73">
        <v>25</v>
      </c>
      <c r="C6" s="1" t="s">
        <v>11</v>
      </c>
      <c r="D6" s="1">
        <v>5</v>
      </c>
      <c r="E6" s="1">
        <v>5</v>
      </c>
      <c r="F6" s="1" t="s">
        <v>12</v>
      </c>
      <c r="G6" s="1" t="s">
        <v>11</v>
      </c>
      <c r="H6" s="1">
        <v>0</v>
      </c>
      <c r="I6" s="1">
        <v>60</v>
      </c>
      <c r="J6" s="1">
        <v>2</v>
      </c>
      <c r="K6" s="1" t="s">
        <v>11</v>
      </c>
      <c r="L6" s="1">
        <v>2</v>
      </c>
    </row>
    <row r="7" spans="1:12" ht="22.5" customHeight="1" x14ac:dyDescent="0.15">
      <c r="A7" s="74">
        <v>6</v>
      </c>
      <c r="B7" s="73">
        <v>26</v>
      </c>
      <c r="C7" s="1" t="s">
        <v>11</v>
      </c>
      <c r="D7" s="1">
        <v>4</v>
      </c>
      <c r="E7" s="1">
        <v>0</v>
      </c>
      <c r="F7" s="1" t="s">
        <v>12</v>
      </c>
      <c r="G7" s="1" t="s">
        <v>12</v>
      </c>
      <c r="H7" s="1">
        <v>0</v>
      </c>
      <c r="I7" s="1">
        <v>15</v>
      </c>
      <c r="J7" s="1">
        <v>4</v>
      </c>
      <c r="K7" s="1" t="s">
        <v>11</v>
      </c>
      <c r="L7" s="1">
        <v>1</v>
      </c>
    </row>
    <row r="8" spans="1:12" ht="22.5" customHeight="1" x14ac:dyDescent="0.15">
      <c r="A8" s="74">
        <v>7</v>
      </c>
      <c r="B8" s="73">
        <v>23</v>
      </c>
      <c r="C8" s="1" t="s">
        <v>11</v>
      </c>
      <c r="D8" s="1">
        <v>5</v>
      </c>
      <c r="E8" s="1">
        <v>24</v>
      </c>
      <c r="F8" s="1" t="s">
        <v>12</v>
      </c>
      <c r="G8" s="1" t="s">
        <v>12</v>
      </c>
      <c r="H8" s="1">
        <v>0</v>
      </c>
      <c r="I8" s="1">
        <v>60</v>
      </c>
      <c r="J8" s="1">
        <v>7</v>
      </c>
      <c r="K8" s="1" t="s">
        <v>11</v>
      </c>
      <c r="L8" s="1">
        <v>0</v>
      </c>
    </row>
    <row r="9" spans="1:12" ht="22.5" customHeight="1" x14ac:dyDescent="0.15">
      <c r="A9" s="74">
        <v>8</v>
      </c>
      <c r="B9" s="73">
        <v>22</v>
      </c>
      <c r="C9" s="1" t="s">
        <v>11</v>
      </c>
      <c r="D9" s="1">
        <v>7</v>
      </c>
      <c r="E9" s="1">
        <v>17</v>
      </c>
      <c r="F9" s="1" t="s">
        <v>12</v>
      </c>
      <c r="G9" s="1" t="s">
        <v>11</v>
      </c>
      <c r="H9" s="1">
        <v>0</v>
      </c>
      <c r="I9" s="1">
        <v>60</v>
      </c>
      <c r="J9" s="1">
        <v>0</v>
      </c>
      <c r="K9" s="1" t="s">
        <v>12</v>
      </c>
      <c r="L9" s="1">
        <v>0</v>
      </c>
    </row>
    <row r="10" spans="1:12" ht="22.5" customHeight="1" x14ac:dyDescent="0.15">
      <c r="A10" s="74">
        <v>9</v>
      </c>
      <c r="B10" s="73">
        <v>23</v>
      </c>
      <c r="C10" s="1" t="s">
        <v>11</v>
      </c>
      <c r="D10" s="1">
        <v>6</v>
      </c>
      <c r="E10" s="1">
        <v>8</v>
      </c>
      <c r="F10" s="1" t="s">
        <v>11</v>
      </c>
      <c r="G10" s="1" t="s">
        <v>12</v>
      </c>
      <c r="H10" s="1">
        <v>0</v>
      </c>
      <c r="I10" s="1">
        <v>90</v>
      </c>
      <c r="J10" s="1">
        <v>2</v>
      </c>
      <c r="K10" s="1" t="s">
        <v>11</v>
      </c>
      <c r="L10" s="1">
        <v>2</v>
      </c>
    </row>
    <row r="11" spans="1:12" ht="22.5" customHeight="1" x14ac:dyDescent="0.15">
      <c r="A11" s="74">
        <v>10</v>
      </c>
      <c r="B11" s="73">
        <v>22</v>
      </c>
      <c r="C11" s="1" t="s">
        <v>11</v>
      </c>
      <c r="D11" s="1">
        <v>7</v>
      </c>
      <c r="E11" s="1">
        <v>8</v>
      </c>
      <c r="F11" s="1" t="s">
        <v>11</v>
      </c>
      <c r="G11" s="1" t="s">
        <v>12</v>
      </c>
      <c r="H11" s="1">
        <v>4</v>
      </c>
      <c r="I11" s="1">
        <v>60</v>
      </c>
      <c r="J11" s="1">
        <v>5</v>
      </c>
      <c r="K11" s="1" t="s">
        <v>11</v>
      </c>
      <c r="L11" s="1">
        <v>2</v>
      </c>
    </row>
    <row r="12" spans="1:12" ht="22.5" customHeight="1" x14ac:dyDescent="0.15">
      <c r="A12" s="74">
        <v>11</v>
      </c>
      <c r="B12" s="73">
        <v>21</v>
      </c>
      <c r="C12" s="1" t="s">
        <v>11</v>
      </c>
      <c r="D12" s="1">
        <v>8</v>
      </c>
      <c r="E12" s="1">
        <v>8</v>
      </c>
      <c r="F12" s="1" t="s">
        <v>11</v>
      </c>
      <c r="G12" s="1" t="s">
        <v>12</v>
      </c>
      <c r="H12" s="1">
        <v>5</v>
      </c>
      <c r="I12" s="1">
        <v>60</v>
      </c>
      <c r="J12" s="1">
        <v>3</v>
      </c>
      <c r="K12" s="1" t="s">
        <v>11</v>
      </c>
      <c r="L12" s="1">
        <v>2</v>
      </c>
    </row>
    <row r="13" spans="1:12" ht="22.5" customHeight="1" x14ac:dyDescent="0.15">
      <c r="A13" s="74">
        <v>12</v>
      </c>
      <c r="B13" s="73">
        <v>22</v>
      </c>
      <c r="C13" s="1" t="s">
        <v>11</v>
      </c>
      <c r="D13" s="1">
        <v>6</v>
      </c>
      <c r="E13" s="1">
        <v>8</v>
      </c>
      <c r="F13" s="1" t="s">
        <v>11</v>
      </c>
      <c r="G13" s="1" t="s">
        <v>11</v>
      </c>
      <c r="H13" s="1">
        <v>4</v>
      </c>
      <c r="I13" s="1">
        <v>120</v>
      </c>
      <c r="J13" s="1">
        <v>1</v>
      </c>
      <c r="K13" s="1" t="s">
        <v>11</v>
      </c>
      <c r="L13" s="1">
        <v>2</v>
      </c>
    </row>
    <row r="14" spans="1:12" ht="22.5" customHeight="1" x14ac:dyDescent="0.15">
      <c r="A14" s="74">
        <v>13</v>
      </c>
      <c r="B14" s="73">
        <v>22</v>
      </c>
      <c r="C14" s="1" t="s">
        <v>11</v>
      </c>
      <c r="D14" s="1">
        <v>8</v>
      </c>
      <c r="E14" s="1">
        <v>10</v>
      </c>
      <c r="F14" s="1" t="s">
        <v>11</v>
      </c>
      <c r="G14" s="1" t="s">
        <v>12</v>
      </c>
      <c r="H14" s="1">
        <v>2</v>
      </c>
      <c r="I14" s="1">
        <v>60</v>
      </c>
      <c r="J14" s="1">
        <v>2</v>
      </c>
      <c r="K14" s="1" t="s">
        <v>11</v>
      </c>
      <c r="L14" s="1">
        <v>1</v>
      </c>
    </row>
    <row r="15" spans="1:12" ht="22.5" customHeight="1" x14ac:dyDescent="0.15">
      <c r="A15" s="74">
        <v>14</v>
      </c>
      <c r="B15" s="73">
        <v>28</v>
      </c>
      <c r="C15" s="1" t="s">
        <v>11</v>
      </c>
      <c r="D15" s="1">
        <v>6</v>
      </c>
      <c r="E15" s="1">
        <v>8</v>
      </c>
      <c r="F15" s="1" t="s">
        <v>12</v>
      </c>
      <c r="G15" s="1" t="s">
        <v>12</v>
      </c>
      <c r="H15" s="1">
        <v>0</v>
      </c>
      <c r="I15" s="1">
        <v>360</v>
      </c>
      <c r="J15" s="1">
        <v>2</v>
      </c>
      <c r="K15" s="1" t="s">
        <v>12</v>
      </c>
      <c r="L15" s="1">
        <v>1</v>
      </c>
    </row>
    <row r="16" spans="1:12" ht="22.5" customHeight="1" x14ac:dyDescent="0.15">
      <c r="A16" s="74">
        <v>15</v>
      </c>
      <c r="B16" s="73">
        <v>26</v>
      </c>
      <c r="C16" s="1" t="s">
        <v>11</v>
      </c>
      <c r="D16" s="1">
        <v>7</v>
      </c>
      <c r="E16" s="1">
        <v>8</v>
      </c>
      <c r="F16" s="1" t="s">
        <v>11</v>
      </c>
      <c r="G16" s="1" t="s">
        <v>11</v>
      </c>
      <c r="H16" s="1">
        <v>0</v>
      </c>
      <c r="I16" s="1">
        <v>120</v>
      </c>
      <c r="J16" s="1">
        <v>7</v>
      </c>
      <c r="K16" s="1" t="s">
        <v>11</v>
      </c>
      <c r="L16" s="1">
        <v>0</v>
      </c>
    </row>
    <row r="17" spans="1:12" ht="22.5" customHeight="1" x14ac:dyDescent="0.15">
      <c r="A17" s="74">
        <v>16</v>
      </c>
      <c r="B17" s="73">
        <v>27</v>
      </c>
      <c r="C17" s="1" t="s">
        <v>11</v>
      </c>
      <c r="D17" s="1">
        <v>6</v>
      </c>
      <c r="E17" s="1">
        <v>14</v>
      </c>
      <c r="F17" s="1" t="s">
        <v>12</v>
      </c>
      <c r="G17" s="1" t="s">
        <v>12</v>
      </c>
      <c r="H17" s="1">
        <v>2</v>
      </c>
      <c r="I17" s="1">
        <v>90</v>
      </c>
      <c r="J17" s="1">
        <v>4</v>
      </c>
      <c r="K17" s="1" t="s">
        <v>11</v>
      </c>
      <c r="L17" s="1">
        <v>1</v>
      </c>
    </row>
    <row r="18" spans="1:12" ht="22.5" customHeight="1" x14ac:dyDescent="0.15">
      <c r="A18" s="74">
        <v>17</v>
      </c>
      <c r="B18" s="73">
        <v>26</v>
      </c>
      <c r="C18" s="1" t="s">
        <v>11</v>
      </c>
      <c r="D18" s="1">
        <v>5</v>
      </c>
      <c r="E18" s="1">
        <v>0</v>
      </c>
      <c r="F18" s="1" t="s">
        <v>11</v>
      </c>
      <c r="G18" s="1" t="s">
        <v>12</v>
      </c>
      <c r="H18" s="1">
        <v>6</v>
      </c>
      <c r="I18" s="1">
        <v>120</v>
      </c>
      <c r="J18" s="1">
        <v>0</v>
      </c>
      <c r="K18" s="1" t="s">
        <v>11</v>
      </c>
      <c r="L18" s="1">
        <v>1</v>
      </c>
    </row>
    <row r="19" spans="1:12" ht="22.5" customHeight="1" x14ac:dyDescent="0.15">
      <c r="A19" s="74">
        <v>18</v>
      </c>
      <c r="B19" s="73">
        <v>19</v>
      </c>
      <c r="C19" s="1" t="s">
        <v>11</v>
      </c>
      <c r="D19" s="1">
        <v>8</v>
      </c>
      <c r="E19" s="1">
        <v>6</v>
      </c>
      <c r="F19" s="1" t="s">
        <v>11</v>
      </c>
      <c r="G19" s="1" t="s">
        <v>12</v>
      </c>
      <c r="H19" s="1">
        <v>3</v>
      </c>
      <c r="I19" s="1">
        <v>30</v>
      </c>
      <c r="J19" s="1">
        <v>4</v>
      </c>
      <c r="K19" s="1" t="s">
        <v>11</v>
      </c>
      <c r="L19" s="1">
        <v>1</v>
      </c>
    </row>
    <row r="20" spans="1:12" ht="22.5" customHeight="1" x14ac:dyDescent="0.15">
      <c r="A20" s="74">
        <v>19</v>
      </c>
      <c r="B20" s="73">
        <v>26</v>
      </c>
      <c r="C20" s="1" t="s">
        <v>11</v>
      </c>
      <c r="D20" s="1">
        <v>6</v>
      </c>
      <c r="E20" s="1">
        <v>30</v>
      </c>
      <c r="F20" s="1" t="s">
        <v>11</v>
      </c>
      <c r="G20" s="1" t="s">
        <v>11</v>
      </c>
      <c r="H20" s="1">
        <v>5</v>
      </c>
      <c r="I20" s="1">
        <v>60</v>
      </c>
      <c r="J20" s="1">
        <v>5</v>
      </c>
      <c r="K20" s="1" t="s">
        <v>11</v>
      </c>
      <c r="L20" s="1">
        <v>0</v>
      </c>
    </row>
    <row r="21" spans="1:12" ht="22.5" customHeight="1" x14ac:dyDescent="0.15">
      <c r="A21" s="74">
        <v>20</v>
      </c>
      <c r="B21" s="73">
        <v>24</v>
      </c>
      <c r="C21" s="1" t="s">
        <v>12</v>
      </c>
      <c r="D21" s="1">
        <v>9</v>
      </c>
      <c r="E21" s="1">
        <v>8</v>
      </c>
      <c r="F21" s="1" t="s">
        <v>12</v>
      </c>
      <c r="G21" s="1" t="s">
        <v>12</v>
      </c>
      <c r="H21" s="1">
        <v>0</v>
      </c>
      <c r="I21" s="1">
        <v>120</v>
      </c>
      <c r="J21" s="1">
        <v>0</v>
      </c>
      <c r="K21" s="1" t="s">
        <v>12</v>
      </c>
      <c r="L21" s="1">
        <v>7</v>
      </c>
    </row>
    <row r="22" spans="1:12" ht="22.5" customHeight="1" x14ac:dyDescent="0.15">
      <c r="A22" s="74">
        <v>21</v>
      </c>
      <c r="B22" s="73">
        <v>20</v>
      </c>
      <c r="C22" s="1" t="s">
        <v>12</v>
      </c>
      <c r="D22" s="1">
        <v>6</v>
      </c>
      <c r="E22" s="1">
        <v>12</v>
      </c>
      <c r="F22" s="1" t="s">
        <v>12</v>
      </c>
      <c r="G22" s="1" t="s">
        <v>12</v>
      </c>
      <c r="H22" s="1">
        <v>3</v>
      </c>
      <c r="I22" s="1">
        <v>90</v>
      </c>
      <c r="J22" s="1">
        <v>5</v>
      </c>
      <c r="K22" s="1" t="s">
        <v>11</v>
      </c>
      <c r="L22" s="1">
        <v>1</v>
      </c>
    </row>
    <row r="23" spans="1:12" ht="22.5" customHeight="1" x14ac:dyDescent="0.15">
      <c r="A23" s="74">
        <v>22</v>
      </c>
      <c r="B23" s="73">
        <v>21</v>
      </c>
      <c r="C23" s="1" t="s">
        <v>12</v>
      </c>
      <c r="D23" s="1">
        <v>7</v>
      </c>
      <c r="E23" s="1">
        <v>12</v>
      </c>
      <c r="F23" s="1" t="s">
        <v>12</v>
      </c>
      <c r="G23" s="1" t="s">
        <v>12</v>
      </c>
      <c r="H23" s="1">
        <v>3</v>
      </c>
      <c r="I23" s="1">
        <v>10</v>
      </c>
      <c r="J23" s="1">
        <v>2</v>
      </c>
      <c r="K23" s="1" t="s">
        <v>11</v>
      </c>
      <c r="L23" s="1">
        <v>1</v>
      </c>
    </row>
    <row r="24" spans="1:12" ht="22.5" customHeight="1" x14ac:dyDescent="0.15">
      <c r="A24" s="74">
        <v>23</v>
      </c>
      <c r="B24" s="73">
        <v>21</v>
      </c>
      <c r="C24" s="1" t="s">
        <v>11</v>
      </c>
      <c r="D24" s="1">
        <v>7</v>
      </c>
      <c r="E24" s="1">
        <v>0</v>
      </c>
      <c r="F24" s="1" t="s">
        <v>11</v>
      </c>
      <c r="G24" s="1" t="s">
        <v>12</v>
      </c>
      <c r="H24" s="1">
        <v>4</v>
      </c>
      <c r="I24" s="1">
        <v>30</v>
      </c>
      <c r="J24" s="1">
        <v>1</v>
      </c>
      <c r="K24" s="1" t="s">
        <v>12</v>
      </c>
      <c r="L24" s="1">
        <v>1</v>
      </c>
    </row>
    <row r="25" spans="1:12" ht="22.5" customHeight="1" x14ac:dyDescent="0.15">
      <c r="A25" s="74">
        <v>24</v>
      </c>
      <c r="B25" s="73">
        <v>18</v>
      </c>
      <c r="C25" s="1" t="s">
        <v>11</v>
      </c>
      <c r="D25" s="1">
        <v>7</v>
      </c>
      <c r="E25" s="1">
        <v>8</v>
      </c>
      <c r="F25" s="1" t="s">
        <v>11</v>
      </c>
      <c r="G25" s="1" t="s">
        <v>12</v>
      </c>
      <c r="H25" s="1">
        <v>3</v>
      </c>
      <c r="I25" s="1">
        <v>15</v>
      </c>
      <c r="J25" s="1">
        <v>1</v>
      </c>
      <c r="K25" s="1" t="s">
        <v>11</v>
      </c>
      <c r="L25" s="1">
        <v>0</v>
      </c>
    </row>
    <row r="26" spans="1:12" ht="22.5" customHeight="1" x14ac:dyDescent="0.15">
      <c r="A26" s="74">
        <v>25</v>
      </c>
      <c r="B26" s="73">
        <v>23</v>
      </c>
      <c r="C26" s="1" t="s">
        <v>11</v>
      </c>
      <c r="D26" s="1">
        <v>4</v>
      </c>
      <c r="E26" s="1">
        <v>12</v>
      </c>
      <c r="F26" s="1" t="s">
        <v>12</v>
      </c>
      <c r="G26" s="1" t="s">
        <v>12</v>
      </c>
      <c r="H26" s="1">
        <v>4</v>
      </c>
      <c r="I26" s="1">
        <v>120</v>
      </c>
      <c r="J26" s="1">
        <v>5</v>
      </c>
      <c r="K26" s="1" t="s">
        <v>11</v>
      </c>
      <c r="L26" s="1">
        <v>2</v>
      </c>
    </row>
    <row r="27" spans="1:12" ht="22.5" customHeight="1" x14ac:dyDescent="0.15">
      <c r="A27" s="74">
        <v>26</v>
      </c>
      <c r="B27" s="73">
        <v>20</v>
      </c>
      <c r="C27" s="1" t="s">
        <v>11</v>
      </c>
      <c r="D27" s="1">
        <v>7</v>
      </c>
      <c r="E27" s="1">
        <v>12</v>
      </c>
      <c r="F27" s="1" t="s">
        <v>11</v>
      </c>
      <c r="G27" s="1" t="s">
        <v>12</v>
      </c>
      <c r="H27" s="1">
        <v>4</v>
      </c>
      <c r="I27" s="1">
        <v>60</v>
      </c>
      <c r="J27" s="1">
        <v>2</v>
      </c>
      <c r="K27" s="1" t="s">
        <v>11</v>
      </c>
      <c r="L27" s="1">
        <v>2</v>
      </c>
    </row>
    <row r="28" spans="1:12" ht="22.5" customHeight="1" x14ac:dyDescent="0.15">
      <c r="A28" s="74">
        <v>27</v>
      </c>
      <c r="B28" s="73">
        <v>18</v>
      </c>
      <c r="C28" s="1" t="s">
        <v>12</v>
      </c>
      <c r="D28" s="1">
        <v>6</v>
      </c>
      <c r="E28" s="1">
        <v>10</v>
      </c>
      <c r="F28" s="1" t="s">
        <v>11</v>
      </c>
      <c r="G28" s="1" t="s">
        <v>11</v>
      </c>
      <c r="H28" s="1">
        <v>3</v>
      </c>
      <c r="I28" s="1">
        <v>120</v>
      </c>
      <c r="J28" s="1">
        <v>7</v>
      </c>
      <c r="K28" s="1" t="s">
        <v>11</v>
      </c>
      <c r="L28" s="1">
        <v>1</v>
      </c>
    </row>
    <row r="29" spans="1:12" ht="22.5" customHeight="1" x14ac:dyDescent="0.15">
      <c r="A29" s="74">
        <v>28</v>
      </c>
      <c r="B29" s="73">
        <v>20</v>
      </c>
      <c r="C29" s="1" t="s">
        <v>11</v>
      </c>
      <c r="D29" s="1">
        <v>7</v>
      </c>
      <c r="E29" s="1">
        <v>10</v>
      </c>
      <c r="F29" s="1" t="s">
        <v>11</v>
      </c>
      <c r="G29" s="1" t="s">
        <v>12</v>
      </c>
      <c r="H29" s="1">
        <v>6</v>
      </c>
      <c r="I29" s="1">
        <v>60</v>
      </c>
      <c r="J29" s="1">
        <v>2</v>
      </c>
      <c r="K29" s="1" t="s">
        <v>11</v>
      </c>
      <c r="L29" s="1">
        <v>2</v>
      </c>
    </row>
    <row r="30" spans="1:12" ht="22.5" customHeight="1" x14ac:dyDescent="0.15">
      <c r="A30" s="74">
        <v>29</v>
      </c>
      <c r="B30" s="73">
        <v>19</v>
      </c>
      <c r="C30" s="1" t="s">
        <v>11</v>
      </c>
      <c r="D30" s="1">
        <v>5</v>
      </c>
      <c r="E30" s="1">
        <v>16</v>
      </c>
      <c r="F30" s="1" t="s">
        <v>11</v>
      </c>
      <c r="G30" s="1" t="s">
        <v>11</v>
      </c>
      <c r="H30" s="1">
        <v>0</v>
      </c>
      <c r="I30" s="1">
        <v>120</v>
      </c>
      <c r="J30" s="1">
        <v>7</v>
      </c>
      <c r="K30" s="1" t="s">
        <v>11</v>
      </c>
      <c r="L30" s="1">
        <v>2</v>
      </c>
    </row>
    <row r="31" spans="1:12" ht="22.5" customHeight="1" x14ac:dyDescent="0.15">
      <c r="A31" s="74">
        <v>30</v>
      </c>
      <c r="B31" s="73">
        <v>19</v>
      </c>
      <c r="C31" s="1" t="s">
        <v>11</v>
      </c>
      <c r="D31" s="1">
        <v>8</v>
      </c>
      <c r="E31" s="1">
        <v>16</v>
      </c>
      <c r="F31" s="1" t="s">
        <v>11</v>
      </c>
      <c r="G31" s="1" t="s">
        <v>12</v>
      </c>
      <c r="H31" s="1">
        <v>0</v>
      </c>
      <c r="I31" s="1">
        <v>90</v>
      </c>
      <c r="J31" s="1">
        <v>5</v>
      </c>
      <c r="K31" s="1" t="s">
        <v>11</v>
      </c>
      <c r="L31" s="1">
        <v>1</v>
      </c>
    </row>
    <row r="32" spans="1:12" ht="22.5" customHeight="1" x14ac:dyDescent="0.15">
      <c r="A32" s="74">
        <v>31</v>
      </c>
      <c r="B32" s="73">
        <v>19</v>
      </c>
      <c r="C32" s="1" t="s">
        <v>11</v>
      </c>
      <c r="D32" s="1">
        <v>7</v>
      </c>
      <c r="E32" s="1">
        <v>16</v>
      </c>
      <c r="F32" s="1" t="s">
        <v>12</v>
      </c>
      <c r="G32" s="1" t="s">
        <v>11</v>
      </c>
      <c r="H32" s="1">
        <v>2</v>
      </c>
      <c r="I32" s="1">
        <v>30</v>
      </c>
      <c r="J32" s="1">
        <v>5</v>
      </c>
      <c r="K32" s="1" t="s">
        <v>11</v>
      </c>
      <c r="L32" s="1">
        <v>1</v>
      </c>
    </row>
    <row r="33" spans="1:12" ht="22.5" customHeight="1" x14ac:dyDescent="0.15">
      <c r="A33" s="74">
        <v>32</v>
      </c>
      <c r="B33" s="73">
        <v>20</v>
      </c>
      <c r="C33" s="1" t="s">
        <v>12</v>
      </c>
      <c r="D33" s="1">
        <v>6</v>
      </c>
      <c r="E33" s="1">
        <v>25</v>
      </c>
      <c r="F33" s="1" t="s">
        <v>12</v>
      </c>
      <c r="G33" s="1" t="s">
        <v>12</v>
      </c>
      <c r="H33" s="1">
        <v>4</v>
      </c>
      <c r="I33" s="1">
        <v>60</v>
      </c>
      <c r="J33" s="1">
        <v>3</v>
      </c>
      <c r="K33" s="1" t="s">
        <v>11</v>
      </c>
      <c r="L33" s="1">
        <v>1</v>
      </c>
    </row>
    <row r="34" spans="1:12" ht="22.5" customHeight="1" x14ac:dyDescent="0.15">
      <c r="A34" s="74">
        <v>33</v>
      </c>
      <c r="B34" s="73">
        <v>21</v>
      </c>
      <c r="C34" s="1" t="s">
        <v>11</v>
      </c>
      <c r="D34" s="1">
        <v>8</v>
      </c>
      <c r="E34" s="1">
        <v>8</v>
      </c>
      <c r="F34" s="1" t="s">
        <v>11</v>
      </c>
      <c r="G34" s="1" t="s">
        <v>12</v>
      </c>
      <c r="H34" s="1">
        <v>3</v>
      </c>
      <c r="I34" s="1">
        <v>120</v>
      </c>
      <c r="J34" s="1">
        <v>2</v>
      </c>
      <c r="K34" s="1" t="s">
        <v>11</v>
      </c>
      <c r="L34" s="1">
        <v>2</v>
      </c>
    </row>
    <row r="35" spans="1:12" ht="22.5" customHeight="1" x14ac:dyDescent="0.15">
      <c r="A35" s="74">
        <v>34</v>
      </c>
      <c r="B35" s="73">
        <v>20</v>
      </c>
      <c r="C35" s="1" t="s">
        <v>11</v>
      </c>
      <c r="D35" s="1">
        <v>8</v>
      </c>
      <c r="E35" s="1">
        <v>10</v>
      </c>
      <c r="F35" s="1" t="s">
        <v>11</v>
      </c>
      <c r="G35" s="1" t="s">
        <v>12</v>
      </c>
      <c r="H35" s="1">
        <v>3</v>
      </c>
      <c r="I35" s="1">
        <v>60</v>
      </c>
      <c r="J35" s="1">
        <v>1</v>
      </c>
      <c r="K35" s="1" t="s">
        <v>11</v>
      </c>
      <c r="L35" s="1">
        <v>0</v>
      </c>
    </row>
    <row r="36" spans="1:12" ht="22.5" customHeight="1" x14ac:dyDescent="0.15">
      <c r="A36" s="74">
        <v>35</v>
      </c>
      <c r="B36" s="73">
        <v>20</v>
      </c>
      <c r="C36" s="1" t="s">
        <v>11</v>
      </c>
      <c r="D36" s="1">
        <v>5</v>
      </c>
      <c r="E36" s="1">
        <v>10</v>
      </c>
      <c r="F36" s="1" t="s">
        <v>11</v>
      </c>
      <c r="G36" s="1" t="s">
        <v>12</v>
      </c>
      <c r="H36" s="1">
        <v>1.5</v>
      </c>
      <c r="I36" s="1">
        <v>45</v>
      </c>
      <c r="J36" s="1">
        <v>2</v>
      </c>
      <c r="K36" s="1" t="s">
        <v>11</v>
      </c>
      <c r="L36" s="1">
        <v>1</v>
      </c>
    </row>
    <row r="37" spans="1:12" ht="22.5" customHeight="1" x14ac:dyDescent="0.15">
      <c r="A37" s="74">
        <v>36</v>
      </c>
      <c r="B37" s="73">
        <v>19</v>
      </c>
      <c r="C37" s="1" t="s">
        <v>12</v>
      </c>
      <c r="D37" s="1">
        <v>6</v>
      </c>
      <c r="E37" s="1">
        <v>0</v>
      </c>
      <c r="F37" s="1" t="s">
        <v>12</v>
      </c>
      <c r="G37" s="1" t="s">
        <v>12</v>
      </c>
      <c r="H37" s="1">
        <v>0</v>
      </c>
      <c r="I37" s="1">
        <v>180</v>
      </c>
      <c r="J37" s="1">
        <v>3</v>
      </c>
      <c r="K37" s="1" t="s">
        <v>11</v>
      </c>
      <c r="L37" s="1">
        <v>0.28299999999999997</v>
      </c>
    </row>
    <row r="38" spans="1:12" ht="22.5" customHeight="1" x14ac:dyDescent="0.15">
      <c r="A38" s="74">
        <v>37</v>
      </c>
      <c r="B38" s="73">
        <v>17</v>
      </c>
      <c r="C38" s="1" t="s">
        <v>11</v>
      </c>
      <c r="D38" s="1">
        <v>8</v>
      </c>
      <c r="E38" s="1">
        <v>8</v>
      </c>
      <c r="F38" s="1" t="s">
        <v>11</v>
      </c>
      <c r="G38" s="1" t="s">
        <v>12</v>
      </c>
      <c r="H38" s="1">
        <v>4</v>
      </c>
      <c r="I38" s="1">
        <v>120</v>
      </c>
      <c r="J38" s="1">
        <v>5</v>
      </c>
      <c r="K38" s="1" t="s">
        <v>11</v>
      </c>
      <c r="L38" s="1">
        <v>1</v>
      </c>
    </row>
    <row r="39" spans="1:12" ht="22.5" customHeight="1" x14ac:dyDescent="0.15">
      <c r="A39" s="74">
        <v>38</v>
      </c>
      <c r="B39" s="73">
        <v>24</v>
      </c>
      <c r="C39" s="1" t="s">
        <v>11</v>
      </c>
      <c r="D39" s="1">
        <v>7</v>
      </c>
      <c r="E39" s="1">
        <v>8</v>
      </c>
      <c r="F39" s="1" t="s">
        <v>12</v>
      </c>
      <c r="G39" s="1" t="s">
        <v>11</v>
      </c>
      <c r="H39" s="1">
        <v>3</v>
      </c>
      <c r="I39" s="1">
        <v>60</v>
      </c>
      <c r="J39" s="1">
        <v>2</v>
      </c>
      <c r="K39" s="1" t="s">
        <v>11</v>
      </c>
      <c r="L39" s="1">
        <v>0</v>
      </c>
    </row>
    <row r="40" spans="1:12" ht="22.5" customHeight="1" x14ac:dyDescent="0.15">
      <c r="A40" s="74">
        <v>39</v>
      </c>
      <c r="B40" s="73">
        <v>21</v>
      </c>
      <c r="C40" s="1" t="s">
        <v>11</v>
      </c>
      <c r="D40" s="1">
        <v>6</v>
      </c>
      <c r="E40" s="1">
        <v>0</v>
      </c>
      <c r="F40" s="1" t="s">
        <v>11</v>
      </c>
      <c r="G40" s="1" t="s">
        <v>12</v>
      </c>
      <c r="H40" s="1">
        <v>0</v>
      </c>
      <c r="I40" s="1">
        <v>30</v>
      </c>
      <c r="J40" s="1">
        <v>2</v>
      </c>
      <c r="K40" s="1" t="s">
        <v>12</v>
      </c>
      <c r="L40" s="1">
        <v>1</v>
      </c>
    </row>
    <row r="41" spans="1:12" ht="22.5" customHeight="1" x14ac:dyDescent="0.15">
      <c r="A41" s="74">
        <v>40</v>
      </c>
      <c r="B41" s="73">
        <v>21</v>
      </c>
      <c r="C41" s="1" t="s">
        <v>11</v>
      </c>
      <c r="D41" s="1">
        <v>5</v>
      </c>
      <c r="E41" s="1">
        <v>16</v>
      </c>
      <c r="F41" s="1" t="s">
        <v>12</v>
      </c>
      <c r="G41" s="1" t="s">
        <v>11</v>
      </c>
      <c r="H41" s="1">
        <v>0</v>
      </c>
      <c r="I41" s="1">
        <v>90</v>
      </c>
      <c r="J41" s="1">
        <v>5</v>
      </c>
      <c r="K41" s="1" t="s">
        <v>11</v>
      </c>
      <c r="L41" s="1">
        <v>1</v>
      </c>
    </row>
    <row r="42" spans="1:12" ht="22.5" customHeight="1" x14ac:dyDescent="0.15">
      <c r="A42" s="74">
        <v>41</v>
      </c>
      <c r="B42" s="73">
        <v>20</v>
      </c>
      <c r="C42" s="1" t="s">
        <v>12</v>
      </c>
      <c r="D42" s="1">
        <v>7</v>
      </c>
      <c r="E42" s="1">
        <v>8</v>
      </c>
      <c r="F42" s="1" t="s">
        <v>12</v>
      </c>
      <c r="G42" s="1" t="s">
        <v>11</v>
      </c>
      <c r="H42" s="1">
        <v>2</v>
      </c>
      <c r="I42" s="1">
        <v>120</v>
      </c>
      <c r="J42" s="1">
        <v>7</v>
      </c>
      <c r="K42" s="1" t="s">
        <v>11</v>
      </c>
      <c r="L42" s="1">
        <v>2</v>
      </c>
    </row>
    <row r="43" spans="1:12" ht="22.5" customHeight="1" x14ac:dyDescent="0.15">
      <c r="A43" s="74">
        <v>42</v>
      </c>
      <c r="B43" s="73">
        <v>21</v>
      </c>
      <c r="C43" s="1" t="s">
        <v>11</v>
      </c>
      <c r="D43" s="1">
        <v>8</v>
      </c>
      <c r="E43" s="1">
        <v>8</v>
      </c>
      <c r="F43" s="1" t="s">
        <v>12</v>
      </c>
      <c r="G43" s="1" t="s">
        <v>12</v>
      </c>
      <c r="H43" s="1">
        <v>0</v>
      </c>
      <c r="I43" s="1">
        <v>60</v>
      </c>
      <c r="J43" s="1">
        <v>7</v>
      </c>
      <c r="K43" s="1" t="s">
        <v>11</v>
      </c>
      <c r="L43" s="1">
        <v>0</v>
      </c>
    </row>
    <row r="44" spans="1:12" ht="22.5" customHeight="1" x14ac:dyDescent="0.15">
      <c r="A44" s="74">
        <v>43</v>
      </c>
      <c r="B44" s="73">
        <v>42</v>
      </c>
      <c r="C44" s="1" t="s">
        <v>11</v>
      </c>
      <c r="D44" s="1">
        <v>8</v>
      </c>
      <c r="E44" s="1">
        <v>24</v>
      </c>
      <c r="F44" s="1" t="s">
        <v>11</v>
      </c>
      <c r="G44" s="1" t="s">
        <v>12</v>
      </c>
      <c r="H44" s="1">
        <v>0</v>
      </c>
      <c r="I44" s="1">
        <v>45</v>
      </c>
      <c r="J44" s="1">
        <v>1</v>
      </c>
      <c r="K44" s="1" t="s">
        <v>11</v>
      </c>
      <c r="L44" s="1">
        <v>1</v>
      </c>
    </row>
    <row r="45" spans="1:12" ht="22.5" customHeight="1" x14ac:dyDescent="0.15">
      <c r="A45" s="74">
        <v>44</v>
      </c>
      <c r="B45" s="73">
        <v>18</v>
      </c>
      <c r="C45" s="1" t="s">
        <v>12</v>
      </c>
      <c r="D45" s="1">
        <v>6</v>
      </c>
      <c r="E45" s="1">
        <v>0</v>
      </c>
      <c r="F45" s="1" t="s">
        <v>11</v>
      </c>
      <c r="G45" s="1" t="s">
        <v>12</v>
      </c>
      <c r="H45" s="1">
        <v>0</v>
      </c>
      <c r="I45" s="1">
        <v>60</v>
      </c>
      <c r="J45" s="1">
        <v>4</v>
      </c>
      <c r="K45" s="1" t="s">
        <v>11</v>
      </c>
      <c r="L45" s="1">
        <v>2</v>
      </c>
    </row>
    <row r="46" spans="1:12" ht="22.5" customHeight="1" x14ac:dyDescent="0.15">
      <c r="A46" s="74">
        <v>45</v>
      </c>
      <c r="B46" s="73">
        <v>21</v>
      </c>
      <c r="C46" s="1" t="s">
        <v>11</v>
      </c>
      <c r="D46" s="1">
        <v>7</v>
      </c>
      <c r="E46" s="1">
        <v>12</v>
      </c>
      <c r="F46" s="1" t="s">
        <v>12</v>
      </c>
      <c r="G46" s="1" t="s">
        <v>11</v>
      </c>
      <c r="H46" s="1">
        <v>0</v>
      </c>
      <c r="I46" s="1">
        <v>120</v>
      </c>
      <c r="J46" s="1">
        <v>4</v>
      </c>
      <c r="K46" s="1" t="s">
        <v>11</v>
      </c>
      <c r="L46" s="1">
        <v>2</v>
      </c>
    </row>
    <row r="47" spans="1:12" ht="22.5" customHeight="1" x14ac:dyDescent="0.15">
      <c r="A47" s="74">
        <v>46</v>
      </c>
      <c r="B47" s="73">
        <v>23</v>
      </c>
      <c r="C47" s="1" t="s">
        <v>11</v>
      </c>
      <c r="D47" s="1">
        <v>5</v>
      </c>
      <c r="E47" s="1">
        <v>16</v>
      </c>
      <c r="F47" s="1" t="s">
        <v>12</v>
      </c>
      <c r="G47" s="1" t="s">
        <v>11</v>
      </c>
      <c r="H47" s="1">
        <v>2</v>
      </c>
      <c r="I47" s="1">
        <v>120</v>
      </c>
      <c r="J47" s="1">
        <v>5</v>
      </c>
      <c r="K47" s="1" t="s">
        <v>11</v>
      </c>
      <c r="L47" s="1">
        <v>1</v>
      </c>
    </row>
    <row r="48" spans="1:12" ht="22.5" customHeight="1" x14ac:dyDescent="0.15">
      <c r="A48" s="74">
        <v>47</v>
      </c>
      <c r="B48" s="73">
        <v>23</v>
      </c>
      <c r="C48" s="1" t="s">
        <v>11</v>
      </c>
      <c r="D48" s="1">
        <v>7</v>
      </c>
      <c r="E48" s="1">
        <v>8</v>
      </c>
      <c r="F48" s="1" t="s">
        <v>12</v>
      </c>
      <c r="G48" s="1" t="s">
        <v>12</v>
      </c>
      <c r="H48" s="1">
        <v>0</v>
      </c>
      <c r="I48" s="1">
        <v>20</v>
      </c>
      <c r="J48" s="1">
        <v>2</v>
      </c>
      <c r="K48" s="1" t="s">
        <v>11</v>
      </c>
      <c r="L48" s="1">
        <v>1</v>
      </c>
    </row>
    <row r="49" spans="1:12" ht="22.5" customHeight="1" x14ac:dyDescent="0.15">
      <c r="A49" s="74">
        <v>48</v>
      </c>
      <c r="B49" s="73">
        <v>28</v>
      </c>
      <c r="C49" s="1" t="s">
        <v>11</v>
      </c>
      <c r="D49" s="1">
        <v>6.5</v>
      </c>
      <c r="E49" s="1">
        <v>16</v>
      </c>
      <c r="F49" s="1" t="s">
        <v>12</v>
      </c>
      <c r="G49" s="1" t="s">
        <v>11</v>
      </c>
      <c r="H49" s="1">
        <v>1</v>
      </c>
      <c r="I49" s="1">
        <v>45</v>
      </c>
      <c r="J49" s="1">
        <v>7</v>
      </c>
      <c r="K49" s="1" t="s">
        <v>11</v>
      </c>
      <c r="L49" s="1">
        <v>1</v>
      </c>
    </row>
    <row r="50" spans="1:12" ht="22.5" customHeight="1" x14ac:dyDescent="0.15">
      <c r="A50" s="74">
        <v>49</v>
      </c>
      <c r="B50" s="73">
        <v>20</v>
      </c>
      <c r="C50" s="1" t="s">
        <v>11</v>
      </c>
      <c r="D50" s="1">
        <v>7</v>
      </c>
      <c r="E50" s="1">
        <v>16</v>
      </c>
      <c r="F50" s="1" t="s">
        <v>12</v>
      </c>
      <c r="G50" s="1" t="s">
        <v>12</v>
      </c>
      <c r="H50" s="1">
        <v>2</v>
      </c>
      <c r="I50" s="1">
        <v>60</v>
      </c>
      <c r="J50" s="1">
        <v>3</v>
      </c>
      <c r="K50" s="1" t="s">
        <v>11</v>
      </c>
      <c r="L50" s="1">
        <v>2</v>
      </c>
    </row>
    <row r="51" spans="1:12" ht="22.5" customHeight="1" x14ac:dyDescent="0.15">
      <c r="A51" s="74">
        <v>50</v>
      </c>
      <c r="B51" s="73">
        <v>22</v>
      </c>
      <c r="C51" s="1" t="s">
        <v>11</v>
      </c>
      <c r="D51" s="1">
        <v>5.5</v>
      </c>
      <c r="E51" s="1">
        <v>8</v>
      </c>
      <c r="F51" s="1" t="s">
        <v>11</v>
      </c>
      <c r="G51" s="1" t="s">
        <v>11</v>
      </c>
      <c r="H51" s="1">
        <v>5</v>
      </c>
      <c r="I51" s="1">
        <v>120</v>
      </c>
      <c r="J51" s="1">
        <v>5</v>
      </c>
      <c r="K51" s="1" t="s">
        <v>11</v>
      </c>
      <c r="L51" s="1">
        <v>2</v>
      </c>
    </row>
    <row r="52" spans="1:12" ht="22.5" customHeight="1" x14ac:dyDescent="0.15">
      <c r="A52" s="74">
        <v>51</v>
      </c>
      <c r="B52" s="73">
        <v>19</v>
      </c>
      <c r="C52" s="1" t="s">
        <v>12</v>
      </c>
      <c r="D52" s="1">
        <v>8</v>
      </c>
      <c r="E52" s="1">
        <v>20</v>
      </c>
      <c r="F52" s="1" t="s">
        <v>11</v>
      </c>
      <c r="G52" s="1" t="s">
        <v>12</v>
      </c>
      <c r="H52" s="1">
        <v>5</v>
      </c>
      <c r="I52" s="1">
        <v>60</v>
      </c>
      <c r="J52" s="1">
        <v>3</v>
      </c>
      <c r="K52" s="1" t="s">
        <v>12</v>
      </c>
      <c r="L52" s="1">
        <v>1</v>
      </c>
    </row>
    <row r="53" spans="1:12" ht="22.5" customHeight="1" x14ac:dyDescent="0.15">
      <c r="A53" s="74">
        <v>52</v>
      </c>
      <c r="B53" s="73">
        <v>22</v>
      </c>
      <c r="C53" s="1" t="s">
        <v>11</v>
      </c>
      <c r="D53" s="1">
        <v>6.7</v>
      </c>
      <c r="E53" s="1">
        <v>0</v>
      </c>
      <c r="F53" s="1"/>
      <c r="G53" s="1" t="s">
        <v>12</v>
      </c>
      <c r="H53" s="1">
        <v>5</v>
      </c>
      <c r="I53" s="1">
        <v>30</v>
      </c>
      <c r="J53" s="1">
        <v>0</v>
      </c>
      <c r="K53" s="1" t="s">
        <v>12</v>
      </c>
      <c r="L53" s="1">
        <v>0</v>
      </c>
    </row>
    <row r="54" spans="1:12" ht="22.5" customHeight="1" x14ac:dyDescent="0.15">
      <c r="A54" s="74">
        <v>53</v>
      </c>
      <c r="B54" s="73">
        <v>23</v>
      </c>
      <c r="C54" s="1" t="s">
        <v>11</v>
      </c>
      <c r="D54" s="1">
        <v>7</v>
      </c>
      <c r="E54" s="1">
        <v>24</v>
      </c>
      <c r="F54" s="1" t="s">
        <v>12</v>
      </c>
      <c r="G54" s="1" t="s">
        <v>11</v>
      </c>
      <c r="H54" s="1">
        <v>0</v>
      </c>
      <c r="I54" s="1">
        <v>180</v>
      </c>
      <c r="J54" s="1">
        <v>4</v>
      </c>
      <c r="K54" s="1" t="s">
        <v>11</v>
      </c>
      <c r="L54" s="1">
        <v>1</v>
      </c>
    </row>
    <row r="55" spans="1:12" ht="22.5" customHeight="1" x14ac:dyDescent="0.15">
      <c r="A55" s="74">
        <v>54</v>
      </c>
      <c r="B55" s="73">
        <v>25</v>
      </c>
      <c r="C55" s="1" t="s">
        <v>11</v>
      </c>
      <c r="D55" s="1">
        <v>5</v>
      </c>
      <c r="E55" s="1">
        <v>6</v>
      </c>
      <c r="F55" s="1" t="s">
        <v>11</v>
      </c>
      <c r="G55" s="1" t="s">
        <v>12</v>
      </c>
      <c r="H55" s="1">
        <v>2</v>
      </c>
      <c r="I55" s="1">
        <v>60</v>
      </c>
      <c r="J55" s="1">
        <v>2</v>
      </c>
      <c r="K55" s="1" t="s">
        <v>12</v>
      </c>
      <c r="L55" s="1">
        <v>3</v>
      </c>
    </row>
    <row r="56" spans="1:12" ht="22.5" customHeight="1" x14ac:dyDescent="0.15">
      <c r="A56" s="74">
        <v>55</v>
      </c>
      <c r="B56" s="73">
        <v>17</v>
      </c>
      <c r="C56" s="1" t="s">
        <v>11</v>
      </c>
      <c r="D56" s="1">
        <v>7</v>
      </c>
      <c r="E56" s="1">
        <v>12</v>
      </c>
      <c r="F56" s="1" t="s">
        <v>12</v>
      </c>
      <c r="G56" s="1" t="s">
        <v>12</v>
      </c>
      <c r="H56" s="1">
        <v>0</v>
      </c>
      <c r="I56" s="1">
        <v>120</v>
      </c>
      <c r="J56" s="1">
        <v>7</v>
      </c>
      <c r="K56" s="1" t="s">
        <v>11</v>
      </c>
      <c r="L56" s="1">
        <v>0</v>
      </c>
    </row>
    <row r="57" spans="1:12" ht="22.5" customHeight="1" x14ac:dyDescent="0.15">
      <c r="A57" s="74">
        <v>56</v>
      </c>
      <c r="B57" s="73">
        <v>18</v>
      </c>
      <c r="C57" s="1" t="s">
        <v>11</v>
      </c>
      <c r="D57" s="1">
        <v>7</v>
      </c>
      <c r="E57" s="1">
        <v>0</v>
      </c>
      <c r="F57" s="1" t="s">
        <v>12</v>
      </c>
      <c r="G57" s="1" t="s">
        <v>11</v>
      </c>
      <c r="H57" s="1">
        <v>0</v>
      </c>
      <c r="I57" s="1">
        <v>120</v>
      </c>
      <c r="J57" s="1">
        <v>3</v>
      </c>
      <c r="K57" s="1" t="s">
        <v>11</v>
      </c>
      <c r="L57" s="1">
        <v>1</v>
      </c>
    </row>
    <row r="58" spans="1:12" ht="22.5" customHeight="1" x14ac:dyDescent="0.15">
      <c r="A58" s="74">
        <v>57</v>
      </c>
      <c r="B58" s="73">
        <v>21</v>
      </c>
      <c r="C58" s="1" t="s">
        <v>11</v>
      </c>
      <c r="D58" s="1">
        <v>5</v>
      </c>
      <c r="E58" s="1">
        <v>8</v>
      </c>
      <c r="F58" s="1" t="s">
        <v>12</v>
      </c>
      <c r="G58" s="1" t="s">
        <v>12</v>
      </c>
      <c r="H58" s="1">
        <v>0</v>
      </c>
      <c r="I58" s="1">
        <v>30</v>
      </c>
      <c r="J58" s="1">
        <v>7</v>
      </c>
      <c r="K58" s="1" t="s">
        <v>11</v>
      </c>
      <c r="L58" s="1">
        <v>0</v>
      </c>
    </row>
    <row r="59" spans="1:12" ht="22.5" customHeight="1" x14ac:dyDescent="0.15">
      <c r="A59" s="74">
        <v>58</v>
      </c>
      <c r="B59" s="73">
        <v>22</v>
      </c>
      <c r="C59" s="1" t="s">
        <v>11</v>
      </c>
      <c r="D59" s="1">
        <v>6</v>
      </c>
      <c r="E59" s="1">
        <v>30</v>
      </c>
      <c r="F59" s="1" t="s">
        <v>12</v>
      </c>
      <c r="G59" s="1" t="s">
        <v>12</v>
      </c>
      <c r="H59" s="1">
        <v>5</v>
      </c>
      <c r="I59" s="1">
        <v>60</v>
      </c>
      <c r="J59" s="1">
        <v>4</v>
      </c>
      <c r="K59" s="1" t="s">
        <v>11</v>
      </c>
      <c r="L59" s="1">
        <v>3</v>
      </c>
    </row>
    <row r="60" spans="1:12" ht="22.5" customHeight="1" x14ac:dyDescent="0.15">
      <c r="A60" s="74">
        <v>59</v>
      </c>
      <c r="B60" s="73">
        <v>21</v>
      </c>
      <c r="C60" s="1" t="s">
        <v>11</v>
      </c>
      <c r="D60" s="1">
        <v>7</v>
      </c>
      <c r="E60" s="1">
        <v>12</v>
      </c>
      <c r="F60" s="1" t="s">
        <v>12</v>
      </c>
      <c r="G60" s="1" t="s">
        <v>12</v>
      </c>
      <c r="H60" s="1">
        <v>0</v>
      </c>
      <c r="I60" s="1">
        <v>120</v>
      </c>
      <c r="J60" s="1">
        <v>5</v>
      </c>
      <c r="K60" s="1" t="s">
        <v>11</v>
      </c>
      <c r="L60" s="1">
        <v>2</v>
      </c>
    </row>
    <row r="61" spans="1:12" ht="22.5" customHeight="1" x14ac:dyDescent="0.15">
      <c r="A61" s="74">
        <v>60</v>
      </c>
      <c r="B61" s="73">
        <v>21</v>
      </c>
      <c r="C61" s="1" t="s">
        <v>11</v>
      </c>
      <c r="D61" s="1">
        <v>7</v>
      </c>
      <c r="E61" s="1">
        <v>8</v>
      </c>
      <c r="F61" s="1" t="s">
        <v>12</v>
      </c>
      <c r="G61" s="1" t="s">
        <v>12</v>
      </c>
      <c r="H61" s="1">
        <v>5</v>
      </c>
      <c r="I61" s="1">
        <v>120</v>
      </c>
      <c r="J61" s="1">
        <v>4</v>
      </c>
      <c r="K61" s="1" t="s">
        <v>11</v>
      </c>
      <c r="L61" s="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EC412-6904-7F46-81FE-C3C969B08E09}">
  <dimension ref="A1:R11"/>
  <sheetViews>
    <sheetView topLeftCell="A4" workbookViewId="0">
      <selection activeCell="A10" sqref="A10:A11"/>
    </sheetView>
  </sheetViews>
  <sheetFormatPr baseColWidth="10" defaultColWidth="11.5" defaultRowHeight="13" x14ac:dyDescent="0.15"/>
  <cols>
    <col min="1" max="1" width="17.33203125" customWidth="1"/>
  </cols>
  <sheetData>
    <row r="1" spans="1:18" ht="19" x14ac:dyDescent="0.2">
      <c r="A1" s="3" t="s">
        <v>13</v>
      </c>
      <c r="B1" s="3" t="s">
        <v>14</v>
      </c>
      <c r="C1" s="3" t="s">
        <v>15</v>
      </c>
      <c r="D1" s="3" t="s">
        <v>16</v>
      </c>
      <c r="E1" s="3" t="s">
        <v>17</v>
      </c>
      <c r="F1" s="3" t="s">
        <v>18</v>
      </c>
      <c r="G1" s="4"/>
    </row>
    <row r="2" spans="1:18" ht="19" x14ac:dyDescent="0.2">
      <c r="A2" s="4" t="s">
        <v>19</v>
      </c>
      <c r="B2" s="4">
        <f>AVERAGE(Form_Responses[HOURS OF SLEEP])</f>
        <v>6.52</v>
      </c>
      <c r="C2" s="4">
        <f>MEDIAN(Form_Responses[HOURS OF SLEEP])</f>
        <v>7</v>
      </c>
      <c r="D2" s="4">
        <f>_xlfn.MODE.SNGL(Form_Responses[HOURS OF SLEEP])</f>
        <v>7</v>
      </c>
      <c r="E2" s="4">
        <f>STDEV(Form_Responses[HOURS OF SLEEP])</f>
        <v>1.1048122779420579</v>
      </c>
      <c r="F2" s="4">
        <f>_xlfn.VAR.S(Form_Responses[HOURS OF SLEEP])</f>
        <v>1.220610169491519</v>
      </c>
      <c r="G2" s="4"/>
    </row>
    <row r="3" spans="1:18" ht="19" x14ac:dyDescent="0.2">
      <c r="A3" s="4" t="s">
        <v>20</v>
      </c>
      <c r="B3" s="4">
        <f>AVERAGE(Form_Responses[TIME USED TECH (MIN)])</f>
        <v>81.916666666666671</v>
      </c>
      <c r="C3" s="4">
        <f>MEDIAN(Form_Responses[TIME USED TECH (MIN)])</f>
        <v>60</v>
      </c>
      <c r="D3" s="4">
        <f>_xlfn.MODE.SNGL(Form_Responses[TIME USED TECH (MIN)])</f>
        <v>120</v>
      </c>
      <c r="E3" s="4">
        <f>STDEV(Form_Responses[TIME USED TECH (MIN)])</f>
        <v>54.680052963492955</v>
      </c>
      <c r="F3" s="4">
        <f>_xlfn.VAR.S(Form_Responses[TIME USED TECH (MIN)])</f>
        <v>2989.908192090395</v>
      </c>
      <c r="G3" s="4"/>
    </row>
    <row r="4" spans="1:18" ht="19" x14ac:dyDescent="0.2">
      <c r="A4" s="4" t="s">
        <v>21</v>
      </c>
      <c r="B4" s="4">
        <f>AVERAGE(Form_Responses[WORKOUT VOLUME (DAYS/WEEK)])</f>
        <v>2.0416666666666665</v>
      </c>
      <c r="C4" s="4">
        <f>MEDIAN(Form_Responses[WORKOUT VOLUME (DAYS/WEEK)])</f>
        <v>2</v>
      </c>
      <c r="D4" s="4">
        <f>_xlfn.MODE.SNGL(Form_Responses[WORKOUT VOLUME (DAYS/WEEK)])</f>
        <v>0</v>
      </c>
      <c r="E4" s="4">
        <f>STDEV(Form_Responses[WORKOUT VOLUME (DAYS/WEEK)])</f>
        <v>2.0216867992160146</v>
      </c>
      <c r="F4" s="4">
        <f>_xlfn.VAR.S(Form_Responses[WORKOUT VOLUME (DAYS/WEEK)])</f>
        <v>4.0872175141242941</v>
      </c>
      <c r="G4" s="4"/>
    </row>
    <row r="5" spans="1:18" ht="19" x14ac:dyDescent="0.2">
      <c r="A5" s="4" t="s">
        <v>22</v>
      </c>
      <c r="B5" s="4">
        <f>AVERAGE(Form_Responses[TIME UNDER STRESS (DAYS/WEEK)])</f>
        <v>3.6833333333333331</v>
      </c>
      <c r="C5" s="4">
        <f>MEDIAN(Form_Responses[TIME UNDER STRESS (DAYS/WEEK)])</f>
        <v>4</v>
      </c>
      <c r="D5" s="4">
        <f>_xlfn.MODE.SNGL(Form_Responses[TIME UNDER STRESS (DAYS/WEEK)])</f>
        <v>2</v>
      </c>
      <c r="E5" s="4">
        <f>STDEV(Form_Responses[TIME UNDER STRESS (DAYS/WEEK)])</f>
        <v>2.1510081725070433</v>
      </c>
      <c r="F5" s="4">
        <f>_xlfn.VAR.S(Form_Responses[TIME UNDER STRESS (DAYS/WEEK)])</f>
        <v>4.6268361581920905</v>
      </c>
      <c r="G5" s="4"/>
    </row>
    <row r="6" spans="1:18" ht="19" x14ac:dyDescent="0.2">
      <c r="A6" s="4" t="s">
        <v>23</v>
      </c>
      <c r="B6" s="4">
        <f>AVERAGE(Form_Responses[TIME UNDER REST (DAYS/WEEK)])</f>
        <v>1.2380500000000001</v>
      </c>
      <c r="C6" s="4">
        <f>MEDIAN(Form_Responses[TIME UNDER REST (DAYS/WEEK)])</f>
        <v>1</v>
      </c>
      <c r="D6" s="4">
        <f>_xlfn.MODE.SNGL(Form_Responses[TIME UNDER REST (DAYS/WEEK)])</f>
        <v>1</v>
      </c>
      <c r="E6" s="4">
        <f>STDEV(Form_Responses[TIME UNDER REST (DAYS/WEEK)])</f>
        <v>1.105563901287713</v>
      </c>
      <c r="F6" s="4">
        <f>_xlfn.VAR.S(Form_Responses[TIME UNDER REST (DAYS/WEEK)])</f>
        <v>1.2222715398305082</v>
      </c>
      <c r="G6" s="4"/>
    </row>
    <row r="7" spans="1:18" ht="19" x14ac:dyDescent="0.2">
      <c r="A7" s="4" t="s">
        <v>24</v>
      </c>
      <c r="B7" s="4">
        <f>AVERAGE(Form_Responses[CAFFEINE INTAKE (Oz)])</f>
        <v>10.65</v>
      </c>
      <c r="C7" s="4">
        <f>MEDIAN(Form_Responses[CAFFEINE INTAKE (Oz)])</f>
        <v>9</v>
      </c>
      <c r="D7" s="4">
        <f>_xlfn.MODE.SNGL(Form_Responses[CAFFEINE INTAKE (Oz)])</f>
        <v>8</v>
      </c>
      <c r="E7" s="4">
        <f>STDEV(Form_Responses[CAFFEINE INTAKE (Oz)])</f>
        <v>7.4352002925160328</v>
      </c>
      <c r="F7" s="4">
        <f>_xlfn.VAR.S(Form_Responses[CAFFEINE INTAKE (Oz)])</f>
        <v>55.282203389830499</v>
      </c>
      <c r="G7" s="4"/>
    </row>
    <row r="8" spans="1:18" ht="19" x14ac:dyDescent="0.2">
      <c r="A8" s="4"/>
      <c r="B8" s="4"/>
      <c r="C8" s="4"/>
      <c r="D8" s="4"/>
      <c r="E8" s="4"/>
      <c r="F8" s="4"/>
      <c r="G8" s="4"/>
    </row>
    <row r="10" spans="1:18" ht="20" x14ac:dyDescent="0.2">
      <c r="A10" s="64" t="s">
        <v>25</v>
      </c>
      <c r="B10" s="60"/>
      <c r="C10" s="60"/>
      <c r="D10" s="60"/>
      <c r="E10" s="60"/>
      <c r="F10" s="60"/>
      <c r="G10" s="60"/>
      <c r="H10" s="60"/>
      <c r="I10" s="60"/>
      <c r="J10" s="60"/>
      <c r="K10" s="60"/>
      <c r="L10" s="60"/>
      <c r="M10" s="60"/>
      <c r="N10" s="60"/>
      <c r="O10" s="60"/>
      <c r="P10" s="60"/>
      <c r="Q10" s="60"/>
      <c r="R10" s="60"/>
    </row>
    <row r="11" spans="1:18" ht="270" x14ac:dyDescent="0.15">
      <c r="A11" s="63" t="s">
        <v>26</v>
      </c>
      <c r="B11" s="60"/>
      <c r="C11" s="60"/>
      <c r="D11" s="60"/>
      <c r="E11" s="60"/>
      <c r="F11" s="60"/>
      <c r="G11" s="60"/>
      <c r="H11" s="60"/>
      <c r="I11" s="60"/>
      <c r="J11" s="60"/>
      <c r="K11" s="60"/>
      <c r="L11" s="60"/>
      <c r="M11" s="60"/>
      <c r="N11" s="60"/>
      <c r="O11" s="60"/>
      <c r="P11" s="60"/>
      <c r="Q11" s="60"/>
      <c r="R11" s="6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E88C4-5474-9F4D-AF66-2E081192F100}">
  <dimension ref="A1:I19"/>
  <sheetViews>
    <sheetView topLeftCell="A12" workbookViewId="0">
      <selection activeCell="A18" sqref="A18:A19"/>
    </sheetView>
  </sheetViews>
  <sheetFormatPr baseColWidth="10" defaultColWidth="11.5" defaultRowHeight="13" x14ac:dyDescent="0.15"/>
  <cols>
    <col min="1" max="1" width="18.33203125" customWidth="1"/>
    <col min="9" max="9" width="11.5" customWidth="1"/>
  </cols>
  <sheetData>
    <row r="1" spans="1:9" ht="19" x14ac:dyDescent="0.2">
      <c r="A1" s="3" t="s">
        <v>27</v>
      </c>
    </row>
    <row r="3" spans="1:9" ht="19" x14ac:dyDescent="0.2">
      <c r="A3" s="5" t="s">
        <v>28</v>
      </c>
      <c r="I3" s="35"/>
    </row>
    <row r="4" spans="1:9" ht="19" x14ac:dyDescent="0.2">
      <c r="A4" s="6">
        <f>COUNTIF(Form_Responses[HOURS OF SLEEP],"&lt;7") / COUNTA(Form_Responses[HOURS OF SLEEP])</f>
        <v>0.46666666666666667</v>
      </c>
      <c r="I4" s="61"/>
    </row>
    <row r="5" spans="1:9" ht="19" x14ac:dyDescent="0.2">
      <c r="A5" s="5"/>
    </row>
    <row r="7" spans="1:9" ht="19" x14ac:dyDescent="0.2">
      <c r="A7" s="5" t="s">
        <v>29</v>
      </c>
    </row>
    <row r="10" spans="1:9" ht="19" x14ac:dyDescent="0.2">
      <c r="A10" s="7" t="s">
        <v>30</v>
      </c>
    </row>
    <row r="12" spans="1:9" ht="19" x14ac:dyDescent="0.2">
      <c r="A12" s="5" t="s">
        <v>31</v>
      </c>
    </row>
    <row r="13" spans="1:9" ht="19" x14ac:dyDescent="0.2">
      <c r="A13" s="4">
        <f>COUNTIFS(Form_Responses[HOURS OF SLEEP],"&gt;=7",Form_Responses[CAFFEINE INTAKE (Oz)],"&gt;0")/COUNTIF(Form_Responses[CAFFEINE INTAKE (Oz)],"&gt;0")</f>
        <v>0.57999999999999996</v>
      </c>
    </row>
    <row r="15" spans="1:9" ht="19" x14ac:dyDescent="0.2">
      <c r="A15" s="5" t="s">
        <v>32</v>
      </c>
    </row>
    <row r="18" spans="1:1" x14ac:dyDescent="0.15">
      <c r="A18" s="62" t="s">
        <v>33</v>
      </c>
    </row>
    <row r="19" spans="1:1" ht="342" x14ac:dyDescent="0.15">
      <c r="A19" s="65"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226E5-6BAB-A340-8348-3286C5ED6E06}">
  <dimension ref="A1:A20"/>
  <sheetViews>
    <sheetView topLeftCell="A7" workbookViewId="0">
      <selection activeCell="A19" sqref="A19:A20"/>
    </sheetView>
  </sheetViews>
  <sheetFormatPr baseColWidth="10" defaultColWidth="11.5" defaultRowHeight="13" x14ac:dyDescent="0.15"/>
  <cols>
    <col min="1" max="1" width="15.83203125" customWidth="1"/>
  </cols>
  <sheetData>
    <row r="1" spans="1:1" ht="19" x14ac:dyDescent="0.2">
      <c r="A1" s="7" t="s">
        <v>35</v>
      </c>
    </row>
    <row r="3" spans="1:1" ht="19" x14ac:dyDescent="0.2">
      <c r="A3" s="5" t="s">
        <v>36</v>
      </c>
    </row>
    <row r="5" spans="1:1" ht="19" x14ac:dyDescent="0.2">
      <c r="A5" s="6">
        <f>_xlfn.NORM.DIST(7,'DESCRIPTIVE ANALYSIS'!B2,'DESCRIPTIVE ANALYSIS'!E2,TRUE)</f>
        <v>0.66802385259891217</v>
      </c>
    </row>
    <row r="7" spans="1:1" ht="19" x14ac:dyDescent="0.2">
      <c r="A7" s="5" t="s">
        <v>37</v>
      </c>
    </row>
    <row r="10" spans="1:1" ht="19" x14ac:dyDescent="0.2">
      <c r="A10" s="7" t="s">
        <v>38</v>
      </c>
    </row>
    <row r="12" spans="1:1" ht="19" x14ac:dyDescent="0.2">
      <c r="A12" s="5" t="s">
        <v>39</v>
      </c>
    </row>
    <row r="14" spans="1:1" ht="19" x14ac:dyDescent="0.2">
      <c r="A14" s="8">
        <f>COUNTIF(Form_Responses[TIME USED TECH (MIN)],"&gt;120")/COUNTA(Form_Responses[TIME USED TECH (MIN)])</f>
        <v>0.05</v>
      </c>
    </row>
    <row r="16" spans="1:1" ht="19" x14ac:dyDescent="0.2">
      <c r="A16" s="5" t="s">
        <v>40</v>
      </c>
    </row>
    <row r="19" spans="1:1" x14ac:dyDescent="0.15">
      <c r="A19" s="62" t="s">
        <v>41</v>
      </c>
    </row>
    <row r="20" spans="1:1" ht="255" x14ac:dyDescent="0.15">
      <c r="A20" s="63" t="s">
        <v>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9CDF-C118-2E43-9668-62A62CF04052}">
  <dimension ref="A1:D23"/>
  <sheetViews>
    <sheetView topLeftCell="A6" workbookViewId="0">
      <selection activeCell="A23" sqref="A23"/>
    </sheetView>
  </sheetViews>
  <sheetFormatPr baseColWidth="10" defaultColWidth="18" defaultRowHeight="18" x14ac:dyDescent="0.2"/>
  <cols>
    <col min="1" max="1" width="32.5" style="39" bestFit="1" customWidth="1"/>
    <col min="2" max="3" width="18" style="39"/>
    <col min="4" max="4" width="20.83203125" style="39" bestFit="1" customWidth="1"/>
    <col min="5" max="16384" width="18" style="39"/>
  </cols>
  <sheetData>
    <row r="1" spans="1:4" x14ac:dyDescent="0.2">
      <c r="A1" s="37" t="s">
        <v>43</v>
      </c>
      <c r="B1" s="38"/>
      <c r="C1" s="38"/>
    </row>
    <row r="3" spans="1:4" x14ac:dyDescent="0.2">
      <c r="A3" s="68" t="s">
        <v>44</v>
      </c>
      <c r="B3" s="68"/>
    </row>
    <row r="4" spans="1:4" ht="19" x14ac:dyDescent="0.25">
      <c r="A4" s="40" t="s">
        <v>45</v>
      </c>
      <c r="B4" s="40">
        <v>5</v>
      </c>
      <c r="C4" s="41"/>
    </row>
    <row r="5" spans="1:4" x14ac:dyDescent="0.2">
      <c r="A5" s="40" t="s">
        <v>46</v>
      </c>
      <c r="B5" s="40">
        <v>0.1</v>
      </c>
      <c r="C5" s="41"/>
    </row>
    <row r="6" spans="1:4" x14ac:dyDescent="0.2">
      <c r="A6" s="40" t="s">
        <v>47</v>
      </c>
      <c r="B6" s="40">
        <v>60</v>
      </c>
      <c r="C6" s="41"/>
    </row>
    <row r="7" spans="1:4" x14ac:dyDescent="0.2">
      <c r="A7" s="40" t="s">
        <v>48</v>
      </c>
      <c r="B7" s="40">
        <f>'DESCRIPTIVE ANALYSIS'!B2</f>
        <v>6.52</v>
      </c>
      <c r="C7" s="41"/>
    </row>
    <row r="8" spans="1:4" x14ac:dyDescent="0.2">
      <c r="A8" s="40" t="s">
        <v>49</v>
      </c>
      <c r="B8" s="40">
        <f>'DESCRIPTIVE ANALYSIS'!E2</f>
        <v>1.1048122779420579</v>
      </c>
      <c r="C8" s="41"/>
    </row>
    <row r="9" spans="1:4" x14ac:dyDescent="0.2">
      <c r="A9" s="41"/>
      <c r="B9" s="41"/>
      <c r="C9" s="41"/>
    </row>
    <row r="10" spans="1:4" x14ac:dyDescent="0.2">
      <c r="A10" s="69" t="s">
        <v>50</v>
      </c>
      <c r="B10" s="69"/>
      <c r="C10" s="41"/>
    </row>
    <row r="11" spans="1:4" x14ac:dyDescent="0.2">
      <c r="A11" s="42" t="s">
        <v>51</v>
      </c>
      <c r="B11" s="43">
        <f>B8/SQRT(B6)</f>
        <v>0.14263065177183568</v>
      </c>
    </row>
    <row r="12" spans="1:4" x14ac:dyDescent="0.2">
      <c r="A12" s="42" t="s">
        <v>52</v>
      </c>
      <c r="B12" s="42">
        <f>B6 - 1</f>
        <v>59</v>
      </c>
    </row>
    <row r="13" spans="1:4" ht="19" x14ac:dyDescent="0.25">
      <c r="A13" s="44" t="s">
        <v>53</v>
      </c>
      <c r="B13" s="43">
        <f>(B7 - B4)/B11</f>
        <v>10.65689584333894</v>
      </c>
    </row>
    <row r="15" spans="1:4" x14ac:dyDescent="0.2">
      <c r="A15" s="45" t="s">
        <v>54</v>
      </c>
      <c r="B15" s="45"/>
      <c r="C15" s="46" t="s">
        <v>55</v>
      </c>
      <c r="D15" s="46"/>
    </row>
    <row r="16" spans="1:4" x14ac:dyDescent="0.2">
      <c r="A16" s="47" t="s">
        <v>56</v>
      </c>
      <c r="B16" s="48">
        <f>-_xlfn.T.INV.2T(B5, B12)</f>
        <v>-1.6710930321038957</v>
      </c>
      <c r="C16" s="49" t="s">
        <v>57</v>
      </c>
      <c r="D16" s="50">
        <f>B7+B16*B11</f>
        <v>6.2816509116596482</v>
      </c>
    </row>
    <row r="17" spans="1:4" x14ac:dyDescent="0.2">
      <c r="A17" s="47" t="s">
        <v>58</v>
      </c>
      <c r="B17" s="48">
        <f>_xlfn.T.INV.2T(B5, B12)</f>
        <v>1.6710930321038957</v>
      </c>
      <c r="C17" s="49" t="s">
        <v>59</v>
      </c>
      <c r="D17" s="50">
        <f>B7+B17*B11</f>
        <v>6.758349088340351</v>
      </c>
    </row>
    <row r="18" spans="1:4" ht="19" x14ac:dyDescent="0.25">
      <c r="A18" s="51" t="s">
        <v>60</v>
      </c>
      <c r="B18" s="48">
        <f>_xlfn.T.DIST.2T(ABS(B13), B12)</f>
        <v>2.2469830858682431E-15</v>
      </c>
      <c r="C18" s="52"/>
      <c r="D18" s="50"/>
    </row>
    <row r="19" spans="1:4" x14ac:dyDescent="0.2">
      <c r="A19" s="70" t="str">
        <f>IF(B18 &lt; B5, "Reject the null hypothesis", "Do not reject the null hypothesis")</f>
        <v>Reject the null hypothesis</v>
      </c>
      <c r="B19" s="71"/>
      <c r="C19" s="52"/>
      <c r="D19" s="50"/>
    </row>
    <row r="20" spans="1:4" x14ac:dyDescent="0.2">
      <c r="A20" s="53"/>
      <c r="B20" s="53"/>
      <c r="C20" s="53"/>
    </row>
    <row r="23" spans="1:4" ht="171" x14ac:dyDescent="0.2">
      <c r="A23" s="66" t="s">
        <v>61</v>
      </c>
    </row>
  </sheetData>
  <mergeCells count="3">
    <mergeCell ref="A3:B3"/>
    <mergeCell ref="A10:B10"/>
    <mergeCell ref="A19:B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C5144-FEC8-8248-A730-76831E90D1F1}">
  <dimension ref="A1:C8"/>
  <sheetViews>
    <sheetView workbookViewId="0">
      <selection activeCell="C8" sqref="C8"/>
    </sheetView>
  </sheetViews>
  <sheetFormatPr baseColWidth="10" defaultColWidth="11.5" defaultRowHeight="13" x14ac:dyDescent="0.15"/>
  <cols>
    <col min="1" max="1" width="22.6640625" customWidth="1"/>
    <col min="2" max="2" width="24.5" customWidth="1"/>
    <col min="3" max="3" width="57.33203125" customWidth="1"/>
  </cols>
  <sheetData>
    <row r="1" spans="1:3" ht="19" x14ac:dyDescent="0.2">
      <c r="A1" s="4" t="s">
        <v>62</v>
      </c>
      <c r="B1" s="4" t="s">
        <v>63</v>
      </c>
      <c r="C1" s="4" t="s">
        <v>64</v>
      </c>
    </row>
    <row r="2" spans="1:3" x14ac:dyDescent="0.15">
      <c r="A2" s="35" t="s">
        <v>65</v>
      </c>
      <c r="B2" s="36">
        <f>CORREL(Form_Responses[HOURS OF SLEEP],Form_Responses[TIME USED TECH (MIN)])</f>
        <v>-5.8160733082749543E-2</v>
      </c>
      <c r="C2" s="35" t="s">
        <v>66</v>
      </c>
    </row>
    <row r="3" spans="1:3" x14ac:dyDescent="0.15">
      <c r="A3" s="35" t="s">
        <v>67</v>
      </c>
      <c r="B3" s="36">
        <f>CORREL(Form_Responses[HOURS OF SLEEP],Form_Responses[CAFFEINE INTAKE (Oz)])</f>
        <v>3.6562050293091147E-2</v>
      </c>
      <c r="C3" s="35" t="s">
        <v>68</v>
      </c>
    </row>
    <row r="4" spans="1:3" x14ac:dyDescent="0.15">
      <c r="A4" s="35" t="s">
        <v>69</v>
      </c>
      <c r="B4" s="36">
        <f>CORREL(Form_Responses[HOURS OF SLEEP],Form_Responses[TIME UNDER STRESS (DAYS/WEEK)])</f>
        <v>-0.23122268844226113</v>
      </c>
      <c r="C4" s="35" t="s">
        <v>70</v>
      </c>
    </row>
    <row r="5" spans="1:3" x14ac:dyDescent="0.15">
      <c r="A5" s="35" t="s">
        <v>71</v>
      </c>
      <c r="B5" s="36">
        <f>CORREL(Form_Responses[HOURS OF SLEEP],Form_Responses[WORKOUT VOLUME (DAYS/WEEK)])</f>
        <v>4.4012254400142503E-2</v>
      </c>
      <c r="C5" s="35" t="s">
        <v>72</v>
      </c>
    </row>
    <row r="6" spans="1:3" x14ac:dyDescent="0.15">
      <c r="B6" s="36"/>
    </row>
    <row r="7" spans="1:3" x14ac:dyDescent="0.15">
      <c r="C7" s="62" t="s">
        <v>41</v>
      </c>
    </row>
    <row r="8" spans="1:3" ht="60" x14ac:dyDescent="0.15">
      <c r="C8" s="63" t="s">
        <v>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2FACE-986F-DA4F-998D-66BDE00C25F9}">
  <dimension ref="A1:S84"/>
  <sheetViews>
    <sheetView workbookViewId="0">
      <selection activeCell="L11" sqref="L11"/>
    </sheetView>
  </sheetViews>
  <sheetFormatPr baseColWidth="10" defaultColWidth="11.5" defaultRowHeight="13" x14ac:dyDescent="0.15"/>
  <cols>
    <col min="2" max="3" width="11.6640625" bestFit="1" customWidth="1"/>
    <col min="4" max="4" width="12.6640625" bestFit="1" customWidth="1"/>
    <col min="5" max="5" width="11.6640625" bestFit="1" customWidth="1"/>
    <col min="6" max="6" width="12.1640625" bestFit="1" customWidth="1"/>
    <col min="7" max="7" width="11.6640625" bestFit="1" customWidth="1"/>
    <col min="8" max="8" width="12.1640625" bestFit="1" customWidth="1"/>
    <col min="9" max="9" width="11.6640625" bestFit="1" customWidth="1"/>
    <col min="12" max="12" width="10.83203125" customWidth="1"/>
    <col min="19" max="19" width="24.1640625" customWidth="1"/>
  </cols>
  <sheetData>
    <row r="1" spans="1:19" x14ac:dyDescent="0.15">
      <c r="A1" t="s">
        <v>74</v>
      </c>
    </row>
    <row r="2" spans="1:19" ht="14" thickBot="1" x14ac:dyDescent="0.2"/>
    <row r="3" spans="1:19" x14ac:dyDescent="0.15">
      <c r="A3" s="56" t="s">
        <v>75</v>
      </c>
      <c r="B3" s="56"/>
    </row>
    <row r="4" spans="1:19" ht="19" x14ac:dyDescent="0.2">
      <c r="A4" t="s">
        <v>76</v>
      </c>
      <c r="B4">
        <v>3.6562050293111957E-2</v>
      </c>
      <c r="K4" s="5" t="s">
        <v>77</v>
      </c>
      <c r="O4" s="5" t="s">
        <v>78</v>
      </c>
      <c r="P4" s="5"/>
    </row>
    <row r="5" spans="1:19" x14ac:dyDescent="0.15">
      <c r="A5" t="s">
        <v>79</v>
      </c>
      <c r="B5">
        <v>1.336783521636048E-3</v>
      </c>
    </row>
    <row r="6" spans="1:19" x14ac:dyDescent="0.15">
      <c r="A6" t="s">
        <v>80</v>
      </c>
      <c r="B6">
        <v>-1.5881547796956434E-2</v>
      </c>
    </row>
    <row r="7" spans="1:19" x14ac:dyDescent="0.15">
      <c r="A7" t="s">
        <v>81</v>
      </c>
      <c r="B7">
        <v>1.1135507838620371</v>
      </c>
    </row>
    <row r="8" spans="1:19" ht="14" thickBot="1" x14ac:dyDescent="0.2">
      <c r="A8" s="54" t="s">
        <v>82</v>
      </c>
      <c r="B8" s="54">
        <v>60</v>
      </c>
      <c r="L8" s="35"/>
    </row>
    <row r="9" spans="1:19" ht="14" x14ac:dyDescent="0.15">
      <c r="L9" s="59"/>
    </row>
    <row r="10" spans="1:19" ht="14" thickBot="1" x14ac:dyDescent="0.2">
      <c r="A10" t="s">
        <v>83</v>
      </c>
    </row>
    <row r="11" spans="1:19" x14ac:dyDescent="0.15">
      <c r="A11" s="55"/>
      <c r="B11" s="55" t="s">
        <v>84</v>
      </c>
      <c r="C11" s="55" t="s">
        <v>85</v>
      </c>
      <c r="D11" s="55" t="s">
        <v>86</v>
      </c>
      <c r="E11" s="55" t="s">
        <v>87</v>
      </c>
      <c r="F11" s="55" t="s">
        <v>88</v>
      </c>
      <c r="S11" s="62" t="s">
        <v>89</v>
      </c>
    </row>
    <row r="12" spans="1:19" ht="180" x14ac:dyDescent="0.15">
      <c r="A12" t="s">
        <v>90</v>
      </c>
      <c r="B12">
        <v>1</v>
      </c>
      <c r="C12">
        <v>9.626980209414171E-2</v>
      </c>
      <c r="D12">
        <v>9.626980209414171E-2</v>
      </c>
      <c r="E12">
        <v>7.7637228422511487E-2</v>
      </c>
      <c r="F12">
        <v>0.78151630643132908</v>
      </c>
      <c r="S12" s="63" t="s">
        <v>91</v>
      </c>
    </row>
    <row r="13" spans="1:19" x14ac:dyDescent="0.15">
      <c r="A13" t="s">
        <v>92</v>
      </c>
      <c r="B13">
        <v>58</v>
      </c>
      <c r="C13">
        <v>71.91973019790592</v>
      </c>
      <c r="D13">
        <v>1.2399953482397572</v>
      </c>
    </row>
    <row r="14" spans="1:19" ht="14" thickBot="1" x14ac:dyDescent="0.2">
      <c r="A14" s="54" t="s">
        <v>93</v>
      </c>
      <c r="B14" s="54">
        <v>59</v>
      </c>
      <c r="C14" s="54">
        <v>72.016000000000062</v>
      </c>
      <c r="D14" s="54"/>
      <c r="E14" s="54"/>
      <c r="F14" s="54"/>
    </row>
    <row r="15" spans="1:19" ht="14" thickBot="1" x14ac:dyDescent="0.2"/>
    <row r="16" spans="1:19" x14ac:dyDescent="0.15">
      <c r="A16" s="55"/>
      <c r="B16" s="55" t="s">
        <v>94</v>
      </c>
      <c r="C16" s="55" t="s">
        <v>81</v>
      </c>
      <c r="D16" s="55" t="s">
        <v>95</v>
      </c>
      <c r="E16" s="55" t="s">
        <v>96</v>
      </c>
      <c r="F16" s="55" t="s">
        <v>97</v>
      </c>
      <c r="G16" s="55" t="s">
        <v>98</v>
      </c>
      <c r="H16" s="55" t="s">
        <v>99</v>
      </c>
      <c r="I16" s="55" t="s">
        <v>100</v>
      </c>
    </row>
    <row r="17" spans="1:9" x14ac:dyDescent="0.15">
      <c r="A17" t="s">
        <v>101</v>
      </c>
      <c r="B17" s="57">
        <v>6.4621403277482203</v>
      </c>
      <c r="C17" s="57">
        <v>0.25256069212590715</v>
      </c>
      <c r="D17" s="57">
        <v>25.586484869651464</v>
      </c>
      <c r="E17" s="57">
        <v>2.7658326150836134E-33</v>
      </c>
      <c r="F17" s="57">
        <v>5.9565851745119742</v>
      </c>
      <c r="G17" s="57">
        <v>6.9676954809844753</v>
      </c>
      <c r="H17" s="57">
        <v>5.9565851745119742</v>
      </c>
      <c r="I17" s="57">
        <v>6.9676954809844753</v>
      </c>
    </row>
    <row r="18" spans="1:9" ht="14" thickBot="1" x14ac:dyDescent="0.2">
      <c r="A18" s="54" t="s">
        <v>3</v>
      </c>
      <c r="B18" s="58">
        <v>5.4328330752839828E-3</v>
      </c>
      <c r="C18" s="58">
        <v>1.9498057640594323E-2</v>
      </c>
      <c r="D18" s="58">
        <v>0.27863457865531183</v>
      </c>
      <c r="E18" s="58">
        <v>0.78151630643145009</v>
      </c>
      <c r="F18" s="58">
        <v>-3.3596769810765266E-2</v>
      </c>
      <c r="G18" s="58">
        <v>4.446243596133323E-2</v>
      </c>
      <c r="H18" s="58">
        <v>-3.3596769810765266E-2</v>
      </c>
      <c r="I18" s="58">
        <v>4.446243596133323E-2</v>
      </c>
    </row>
    <row r="22" spans="1:9" x14ac:dyDescent="0.15">
      <c r="A22" t="s">
        <v>102</v>
      </c>
      <c r="F22" t="s">
        <v>103</v>
      </c>
    </row>
    <row r="23" spans="1:9" ht="14" thickBot="1" x14ac:dyDescent="0.2"/>
    <row r="24" spans="1:9" x14ac:dyDescent="0.15">
      <c r="A24" s="55" t="s">
        <v>104</v>
      </c>
      <c r="B24" s="55" t="s">
        <v>105</v>
      </c>
      <c r="C24" s="55" t="s">
        <v>106</v>
      </c>
      <c r="D24" s="55" t="s">
        <v>107</v>
      </c>
      <c r="F24" s="55" t="s">
        <v>108</v>
      </c>
      <c r="G24" s="55" t="s">
        <v>2</v>
      </c>
    </row>
    <row r="25" spans="1:9" x14ac:dyDescent="0.15">
      <c r="A25">
        <v>1</v>
      </c>
      <c r="B25">
        <v>6.5707969892539042</v>
      </c>
      <c r="C25">
        <v>-0.57079698925390421</v>
      </c>
      <c r="D25">
        <v>-0.51699179995753874</v>
      </c>
      <c r="F25">
        <v>0.83333333333333337</v>
      </c>
      <c r="G25">
        <v>4</v>
      </c>
    </row>
    <row r="26" spans="1:9" x14ac:dyDescent="0.15">
      <c r="A26">
        <v>2</v>
      </c>
      <c r="B26">
        <v>6.4621403277482248</v>
      </c>
      <c r="C26">
        <v>0.53785967225177522</v>
      </c>
      <c r="D26">
        <v>0.48715926207929827</v>
      </c>
      <c r="F26">
        <v>2.5</v>
      </c>
      <c r="G26">
        <v>4</v>
      </c>
    </row>
    <row r="27" spans="1:9" x14ac:dyDescent="0.15">
      <c r="A27">
        <v>3</v>
      </c>
      <c r="B27">
        <v>6.5273343246516324</v>
      </c>
      <c r="C27">
        <v>0.47266567534836756</v>
      </c>
      <c r="D27">
        <v>0.42811066434654771</v>
      </c>
      <c r="F27">
        <v>4.166666666666667</v>
      </c>
      <c r="G27">
        <v>5</v>
      </c>
    </row>
    <row r="28" spans="1:9" x14ac:dyDescent="0.15">
      <c r="A28">
        <v>4</v>
      </c>
      <c r="B28">
        <v>6.4621403277482248</v>
      </c>
      <c r="C28">
        <v>-0.96214032774822478</v>
      </c>
      <c r="D28">
        <v>-0.87144583664408082</v>
      </c>
      <c r="F28">
        <v>5.833333333333333</v>
      </c>
      <c r="G28">
        <v>5</v>
      </c>
    </row>
    <row r="29" spans="1:9" x14ac:dyDescent="0.15">
      <c r="A29">
        <v>5</v>
      </c>
      <c r="B29">
        <v>6.4893044931246449</v>
      </c>
      <c r="C29">
        <v>-1.4893044931246449</v>
      </c>
      <c r="D29">
        <v>-1.3489177852738534</v>
      </c>
      <c r="F29">
        <v>7.5</v>
      </c>
      <c r="G29">
        <v>5</v>
      </c>
    </row>
    <row r="30" spans="1:9" x14ac:dyDescent="0.15">
      <c r="A30">
        <v>6</v>
      </c>
      <c r="B30">
        <v>6.4621403277482248</v>
      </c>
      <c r="C30">
        <v>-2.4621403277482248</v>
      </c>
      <c r="D30">
        <v>-2.2300509353674598</v>
      </c>
      <c r="F30">
        <v>9.1666666666666679</v>
      </c>
      <c r="G30">
        <v>5</v>
      </c>
    </row>
    <row r="31" spans="1:9" x14ac:dyDescent="0.15">
      <c r="A31">
        <v>7</v>
      </c>
      <c r="B31">
        <v>6.5925283215550401</v>
      </c>
      <c r="C31">
        <v>-1.5925283215550401</v>
      </c>
      <c r="D31">
        <v>-1.4424113983507083</v>
      </c>
      <c r="F31">
        <v>10.833333333333334</v>
      </c>
      <c r="G31">
        <v>5</v>
      </c>
    </row>
    <row r="32" spans="1:9" x14ac:dyDescent="0.15">
      <c r="A32">
        <v>8</v>
      </c>
      <c r="B32">
        <v>6.5544984900280525</v>
      </c>
      <c r="C32">
        <v>0.44550150997194748</v>
      </c>
      <c r="D32">
        <v>0.40350708195790147</v>
      </c>
      <c r="F32">
        <v>12.500000000000002</v>
      </c>
      <c r="G32">
        <v>5</v>
      </c>
    </row>
    <row r="33" spans="1:7" x14ac:dyDescent="0.15">
      <c r="A33">
        <v>9</v>
      </c>
      <c r="B33">
        <v>6.5056029923504965</v>
      </c>
      <c r="C33">
        <v>-0.50560299235049655</v>
      </c>
      <c r="D33">
        <v>-0.45794320222478818</v>
      </c>
      <c r="F33">
        <v>14.166666666666668</v>
      </c>
      <c r="G33">
        <v>5</v>
      </c>
    </row>
    <row r="34" spans="1:7" x14ac:dyDescent="0.15">
      <c r="A34">
        <v>10</v>
      </c>
      <c r="B34">
        <v>6.5056029923504965</v>
      </c>
      <c r="C34">
        <v>0.49439700764950345</v>
      </c>
      <c r="D34">
        <v>0.44779353025746454</v>
      </c>
      <c r="F34">
        <v>15.833333333333334</v>
      </c>
      <c r="G34">
        <v>5</v>
      </c>
    </row>
    <row r="35" spans="1:7" x14ac:dyDescent="0.15">
      <c r="A35">
        <v>11</v>
      </c>
      <c r="B35">
        <v>6.5056029923504965</v>
      </c>
      <c r="C35">
        <v>1.4943970076495035</v>
      </c>
      <c r="D35">
        <v>1.3535302627397172</v>
      </c>
      <c r="F35">
        <v>17.5</v>
      </c>
      <c r="G35">
        <v>5</v>
      </c>
    </row>
    <row r="36" spans="1:7" x14ac:dyDescent="0.15">
      <c r="A36">
        <v>12</v>
      </c>
      <c r="B36">
        <v>6.5056029923504965</v>
      </c>
      <c r="C36">
        <v>-0.50560299235049655</v>
      </c>
      <c r="D36">
        <v>-0.45794320222478818</v>
      </c>
      <c r="F36">
        <v>19.166666666666668</v>
      </c>
      <c r="G36">
        <v>5.5</v>
      </c>
    </row>
    <row r="37" spans="1:7" x14ac:dyDescent="0.15">
      <c r="A37">
        <v>13</v>
      </c>
      <c r="B37">
        <v>6.5164686585010649</v>
      </c>
      <c r="C37">
        <v>1.4835313414989351</v>
      </c>
      <c r="D37">
        <v>1.3436888297842584</v>
      </c>
      <c r="F37">
        <v>20.833333333333332</v>
      </c>
      <c r="G37">
        <v>5.5</v>
      </c>
    </row>
    <row r="38" spans="1:7" x14ac:dyDescent="0.15">
      <c r="A38">
        <v>14</v>
      </c>
      <c r="B38">
        <v>6.5056029923504965</v>
      </c>
      <c r="C38">
        <v>-0.50560299235049655</v>
      </c>
      <c r="D38">
        <v>-0.45794320222478818</v>
      </c>
      <c r="F38">
        <v>22.5</v>
      </c>
      <c r="G38">
        <v>6</v>
      </c>
    </row>
    <row r="39" spans="1:7" x14ac:dyDescent="0.15">
      <c r="A39">
        <v>15</v>
      </c>
      <c r="B39">
        <v>6.5056029923504965</v>
      </c>
      <c r="C39">
        <v>0.49439700764950345</v>
      </c>
      <c r="D39">
        <v>0.44779353025746454</v>
      </c>
      <c r="F39">
        <v>24.166666666666668</v>
      </c>
      <c r="G39">
        <v>6</v>
      </c>
    </row>
    <row r="40" spans="1:7" x14ac:dyDescent="0.15">
      <c r="A40">
        <v>16</v>
      </c>
      <c r="B40">
        <v>6.5381999908022008</v>
      </c>
      <c r="C40">
        <v>-0.53819999080220082</v>
      </c>
      <c r="D40">
        <v>-0.48746750109116382</v>
      </c>
      <c r="F40">
        <v>25.833333333333332</v>
      </c>
      <c r="G40">
        <v>6</v>
      </c>
    </row>
    <row r="41" spans="1:7" x14ac:dyDescent="0.15">
      <c r="A41">
        <v>17</v>
      </c>
      <c r="B41">
        <v>6.4621403277482248</v>
      </c>
      <c r="C41">
        <v>-1.4621403277482248</v>
      </c>
      <c r="D41">
        <v>-1.3243142028852073</v>
      </c>
      <c r="F41">
        <v>27.5</v>
      </c>
      <c r="G41">
        <v>6</v>
      </c>
    </row>
    <row r="42" spans="1:7" x14ac:dyDescent="0.15">
      <c r="A42">
        <v>18</v>
      </c>
      <c r="B42">
        <v>6.4947373261999291</v>
      </c>
      <c r="C42">
        <v>1.5052626738000709</v>
      </c>
      <c r="D42">
        <v>1.3633716956951754</v>
      </c>
      <c r="F42">
        <v>29.166666666666668</v>
      </c>
      <c r="G42">
        <v>6</v>
      </c>
    </row>
    <row r="43" spans="1:7" x14ac:dyDescent="0.15">
      <c r="A43">
        <v>19</v>
      </c>
      <c r="B43">
        <v>6.6251253200067444</v>
      </c>
      <c r="C43">
        <v>-0.62512532000674437</v>
      </c>
      <c r="D43">
        <v>-0.56619896473483122</v>
      </c>
      <c r="F43">
        <v>30.833333333333332</v>
      </c>
      <c r="G43">
        <v>6</v>
      </c>
    </row>
    <row r="44" spans="1:7" x14ac:dyDescent="0.15">
      <c r="A44">
        <v>20</v>
      </c>
      <c r="B44">
        <v>6.5056029923504965</v>
      </c>
      <c r="C44">
        <v>2.4943970076495035</v>
      </c>
      <c r="D44">
        <v>2.2592669952219699</v>
      </c>
      <c r="F44">
        <v>32.5</v>
      </c>
      <c r="G44">
        <v>6</v>
      </c>
    </row>
    <row r="45" spans="1:7" x14ac:dyDescent="0.15">
      <c r="A45">
        <v>21</v>
      </c>
      <c r="B45">
        <v>6.5273343246516324</v>
      </c>
      <c r="C45">
        <v>-0.52733432465163244</v>
      </c>
      <c r="D45">
        <v>-0.47762606813570502</v>
      </c>
      <c r="F45">
        <v>34.166666666666671</v>
      </c>
      <c r="G45">
        <v>6</v>
      </c>
    </row>
    <row r="46" spans="1:7" x14ac:dyDescent="0.15">
      <c r="A46">
        <v>22</v>
      </c>
      <c r="B46">
        <v>6.5273343246516324</v>
      </c>
      <c r="C46">
        <v>0.47266567534836756</v>
      </c>
      <c r="D46">
        <v>0.42811066434654771</v>
      </c>
      <c r="F46">
        <v>35.833333333333336</v>
      </c>
      <c r="G46">
        <v>6</v>
      </c>
    </row>
    <row r="47" spans="1:7" x14ac:dyDescent="0.15">
      <c r="A47">
        <v>23</v>
      </c>
      <c r="B47">
        <v>6.4621403277482248</v>
      </c>
      <c r="C47">
        <v>0.53785967225177522</v>
      </c>
      <c r="D47">
        <v>0.48715926207929827</v>
      </c>
      <c r="F47">
        <v>37.500000000000007</v>
      </c>
      <c r="G47">
        <v>6</v>
      </c>
    </row>
    <row r="48" spans="1:7" x14ac:dyDescent="0.15">
      <c r="A48">
        <v>24</v>
      </c>
      <c r="B48">
        <v>6.5056029923504965</v>
      </c>
      <c r="C48">
        <v>0.49439700764950345</v>
      </c>
      <c r="D48">
        <v>0.44779353025746454</v>
      </c>
      <c r="F48">
        <v>39.166666666666671</v>
      </c>
      <c r="G48">
        <v>6</v>
      </c>
    </row>
    <row r="49" spans="1:7" x14ac:dyDescent="0.15">
      <c r="A49">
        <v>25</v>
      </c>
      <c r="B49">
        <v>6.5273343246516324</v>
      </c>
      <c r="C49">
        <v>-2.5273343246516324</v>
      </c>
      <c r="D49">
        <v>-2.2890995331002104</v>
      </c>
      <c r="F49">
        <v>40.833333333333336</v>
      </c>
      <c r="G49">
        <v>6</v>
      </c>
    </row>
    <row r="50" spans="1:7" x14ac:dyDescent="0.15">
      <c r="A50">
        <v>26</v>
      </c>
      <c r="B50">
        <v>6.5273343246516324</v>
      </c>
      <c r="C50">
        <v>0.47266567534836756</v>
      </c>
      <c r="D50">
        <v>0.42811066434654771</v>
      </c>
      <c r="F50">
        <v>42.500000000000007</v>
      </c>
      <c r="G50">
        <v>6</v>
      </c>
    </row>
    <row r="51" spans="1:7" x14ac:dyDescent="0.15">
      <c r="A51">
        <v>27</v>
      </c>
      <c r="B51">
        <v>6.5164686585010649</v>
      </c>
      <c r="C51">
        <v>-0.51646865850106494</v>
      </c>
      <c r="D51">
        <v>-0.46778463518024699</v>
      </c>
      <c r="F51">
        <v>44.166666666666671</v>
      </c>
      <c r="G51">
        <v>6.5</v>
      </c>
    </row>
    <row r="52" spans="1:7" x14ac:dyDescent="0.15">
      <c r="A52">
        <v>28</v>
      </c>
      <c r="B52">
        <v>6.5164686585010649</v>
      </c>
      <c r="C52">
        <v>0.48353134149893506</v>
      </c>
      <c r="D52">
        <v>0.43795209730200574</v>
      </c>
      <c r="F52">
        <v>45.833333333333336</v>
      </c>
      <c r="G52">
        <v>6.7</v>
      </c>
    </row>
    <row r="53" spans="1:7" x14ac:dyDescent="0.15">
      <c r="A53">
        <v>29</v>
      </c>
      <c r="B53">
        <v>6.5490656569527683</v>
      </c>
      <c r="C53">
        <v>-1.5490656569527683</v>
      </c>
      <c r="D53">
        <v>-1.4030456665288746</v>
      </c>
      <c r="F53">
        <v>47.500000000000007</v>
      </c>
      <c r="G53">
        <v>7</v>
      </c>
    </row>
    <row r="54" spans="1:7" x14ac:dyDescent="0.15">
      <c r="A54">
        <v>30</v>
      </c>
      <c r="B54">
        <v>6.5490656569527683</v>
      </c>
      <c r="C54">
        <v>1.4509343430472317</v>
      </c>
      <c r="D54">
        <v>1.3141645309178835</v>
      </c>
      <c r="F54">
        <v>49.166666666666671</v>
      </c>
      <c r="G54">
        <v>7</v>
      </c>
    </row>
    <row r="55" spans="1:7" x14ac:dyDescent="0.15">
      <c r="A55">
        <v>31</v>
      </c>
      <c r="B55">
        <v>6.5490656569527683</v>
      </c>
      <c r="C55">
        <v>0.45093434304723168</v>
      </c>
      <c r="D55">
        <v>0.40842779843563087</v>
      </c>
      <c r="F55">
        <v>50.833333333333336</v>
      </c>
      <c r="G55">
        <v>7</v>
      </c>
    </row>
    <row r="56" spans="1:7" x14ac:dyDescent="0.15">
      <c r="A56">
        <v>32</v>
      </c>
      <c r="B56">
        <v>6.5979611546303243</v>
      </c>
      <c r="C56">
        <v>-0.59796115463032429</v>
      </c>
      <c r="D56">
        <v>-0.54159538234618498</v>
      </c>
      <c r="F56">
        <v>52.500000000000007</v>
      </c>
      <c r="G56">
        <v>7</v>
      </c>
    </row>
    <row r="57" spans="1:7" x14ac:dyDescent="0.15">
      <c r="A57">
        <v>33</v>
      </c>
      <c r="B57">
        <v>6.5056029923504965</v>
      </c>
      <c r="C57">
        <v>1.4943970076495035</v>
      </c>
      <c r="D57">
        <v>1.3535302627397172</v>
      </c>
      <c r="F57">
        <v>54.166666666666671</v>
      </c>
      <c r="G57">
        <v>7</v>
      </c>
    </row>
    <row r="58" spans="1:7" x14ac:dyDescent="0.15">
      <c r="A58">
        <v>34</v>
      </c>
      <c r="B58">
        <v>6.5164686585010649</v>
      </c>
      <c r="C58">
        <v>1.4835313414989351</v>
      </c>
      <c r="D58">
        <v>1.3436888297842584</v>
      </c>
      <c r="F58">
        <v>55.833333333333336</v>
      </c>
      <c r="G58">
        <v>7</v>
      </c>
    </row>
    <row r="59" spans="1:7" x14ac:dyDescent="0.15">
      <c r="A59">
        <v>35</v>
      </c>
      <c r="B59">
        <v>6.5164686585010649</v>
      </c>
      <c r="C59">
        <v>-1.5164686585010649</v>
      </c>
      <c r="D59">
        <v>-1.3735213676624998</v>
      </c>
      <c r="F59">
        <v>57.500000000000007</v>
      </c>
      <c r="G59">
        <v>7</v>
      </c>
    </row>
    <row r="60" spans="1:7" x14ac:dyDescent="0.15">
      <c r="A60">
        <v>36</v>
      </c>
      <c r="B60">
        <v>6.4621403277482248</v>
      </c>
      <c r="C60">
        <v>-0.46214032774822478</v>
      </c>
      <c r="D60">
        <v>-0.41857747040295445</v>
      </c>
      <c r="F60">
        <v>59.166666666666671</v>
      </c>
      <c r="G60">
        <v>7</v>
      </c>
    </row>
    <row r="61" spans="1:7" x14ac:dyDescent="0.15">
      <c r="A61">
        <v>37</v>
      </c>
      <c r="B61">
        <v>6.5056029923504965</v>
      </c>
      <c r="C61">
        <v>1.4943970076495035</v>
      </c>
      <c r="D61">
        <v>1.3535302627397172</v>
      </c>
      <c r="F61">
        <v>60.833333333333336</v>
      </c>
      <c r="G61">
        <v>7</v>
      </c>
    </row>
    <row r="62" spans="1:7" x14ac:dyDescent="0.15">
      <c r="A62">
        <v>38</v>
      </c>
      <c r="B62">
        <v>6.5056029923504965</v>
      </c>
      <c r="C62">
        <v>0.49439700764950345</v>
      </c>
      <c r="D62">
        <v>0.44779353025746454</v>
      </c>
      <c r="F62">
        <v>62.500000000000007</v>
      </c>
      <c r="G62">
        <v>7</v>
      </c>
    </row>
    <row r="63" spans="1:7" x14ac:dyDescent="0.15">
      <c r="A63">
        <v>39</v>
      </c>
      <c r="B63">
        <v>6.4621403277482248</v>
      </c>
      <c r="C63">
        <v>-0.46214032774822478</v>
      </c>
      <c r="D63">
        <v>-0.41857747040295445</v>
      </c>
      <c r="F63">
        <v>64.166666666666671</v>
      </c>
      <c r="G63">
        <v>7</v>
      </c>
    </row>
    <row r="64" spans="1:7" x14ac:dyDescent="0.15">
      <c r="A64">
        <v>40</v>
      </c>
      <c r="B64">
        <v>6.5490656569527683</v>
      </c>
      <c r="C64">
        <v>-1.5490656569527683</v>
      </c>
      <c r="D64">
        <v>-1.4030456665288746</v>
      </c>
      <c r="F64">
        <v>65.833333333333329</v>
      </c>
      <c r="G64">
        <v>7</v>
      </c>
    </row>
    <row r="65" spans="1:7" x14ac:dyDescent="0.15">
      <c r="A65">
        <v>41</v>
      </c>
      <c r="B65">
        <v>6.5056029923504965</v>
      </c>
      <c r="C65">
        <v>0.49439700764950345</v>
      </c>
      <c r="D65">
        <v>0.44779353025746454</v>
      </c>
      <c r="F65">
        <v>67.5</v>
      </c>
      <c r="G65">
        <v>7</v>
      </c>
    </row>
    <row r="66" spans="1:7" x14ac:dyDescent="0.15">
      <c r="A66">
        <v>42</v>
      </c>
      <c r="B66">
        <v>6.5056029923504965</v>
      </c>
      <c r="C66">
        <v>1.4943970076495035</v>
      </c>
      <c r="D66">
        <v>1.3535302627397172</v>
      </c>
      <c r="F66">
        <v>69.166666666666671</v>
      </c>
      <c r="G66">
        <v>7</v>
      </c>
    </row>
    <row r="67" spans="1:7" x14ac:dyDescent="0.15">
      <c r="A67">
        <v>43</v>
      </c>
      <c r="B67">
        <v>6.5925283215550401</v>
      </c>
      <c r="C67">
        <v>1.4074716784449599</v>
      </c>
      <c r="D67">
        <v>1.2747987990960499</v>
      </c>
      <c r="F67">
        <v>70.833333333333329</v>
      </c>
      <c r="G67">
        <v>7</v>
      </c>
    </row>
    <row r="68" spans="1:7" x14ac:dyDescent="0.15">
      <c r="A68">
        <v>44</v>
      </c>
      <c r="B68">
        <v>6.4621403277482248</v>
      </c>
      <c r="C68">
        <v>-0.46214032774822478</v>
      </c>
      <c r="D68">
        <v>-0.41857747040295445</v>
      </c>
      <c r="F68">
        <v>72.5</v>
      </c>
      <c r="G68">
        <v>7</v>
      </c>
    </row>
    <row r="69" spans="1:7" x14ac:dyDescent="0.15">
      <c r="A69">
        <v>45</v>
      </c>
      <c r="B69">
        <v>6.5273343246516324</v>
      </c>
      <c r="C69">
        <v>0.47266567534836756</v>
      </c>
      <c r="D69">
        <v>0.42811066434654771</v>
      </c>
      <c r="F69">
        <v>74.166666666666671</v>
      </c>
      <c r="G69">
        <v>7</v>
      </c>
    </row>
    <row r="70" spans="1:7" x14ac:dyDescent="0.15">
      <c r="A70">
        <v>46</v>
      </c>
      <c r="B70">
        <v>6.5490656569527683</v>
      </c>
      <c r="C70">
        <v>-1.5490656569527683</v>
      </c>
      <c r="D70">
        <v>-1.4030456665288746</v>
      </c>
      <c r="F70">
        <v>75.833333333333329</v>
      </c>
      <c r="G70">
        <v>7</v>
      </c>
    </row>
    <row r="71" spans="1:7" x14ac:dyDescent="0.15">
      <c r="A71">
        <v>47</v>
      </c>
      <c r="B71">
        <v>6.5056029923504965</v>
      </c>
      <c r="C71">
        <v>0.49439700764950345</v>
      </c>
      <c r="D71">
        <v>0.44779353025746454</v>
      </c>
      <c r="F71">
        <v>77.5</v>
      </c>
      <c r="G71">
        <v>7</v>
      </c>
    </row>
    <row r="72" spans="1:7" x14ac:dyDescent="0.15">
      <c r="A72">
        <v>48</v>
      </c>
      <c r="B72">
        <v>6.5490656569527683</v>
      </c>
      <c r="C72">
        <v>-4.9065656952768322E-2</v>
      </c>
      <c r="D72">
        <v>-4.4440567805495504E-2</v>
      </c>
      <c r="F72">
        <v>79.166666666666671</v>
      </c>
      <c r="G72">
        <v>7</v>
      </c>
    </row>
    <row r="73" spans="1:7" x14ac:dyDescent="0.15">
      <c r="A73">
        <v>49</v>
      </c>
      <c r="B73">
        <v>6.5490656569527683</v>
      </c>
      <c r="C73">
        <v>0.45093434304723168</v>
      </c>
      <c r="D73">
        <v>0.40842779843563087</v>
      </c>
      <c r="F73">
        <v>80.833333333333329</v>
      </c>
      <c r="G73">
        <v>7</v>
      </c>
    </row>
    <row r="74" spans="1:7" x14ac:dyDescent="0.15">
      <c r="A74">
        <v>50</v>
      </c>
      <c r="B74">
        <v>6.5056029923504965</v>
      </c>
      <c r="C74">
        <v>-1.0056029923504965</v>
      </c>
      <c r="D74">
        <v>-0.91081156846591449</v>
      </c>
      <c r="F74">
        <v>82.5</v>
      </c>
      <c r="G74">
        <v>8</v>
      </c>
    </row>
    <row r="75" spans="1:7" x14ac:dyDescent="0.15">
      <c r="A75">
        <v>51</v>
      </c>
      <c r="B75">
        <v>6.5707969892539042</v>
      </c>
      <c r="C75">
        <v>1.4292030107460958</v>
      </c>
      <c r="D75">
        <v>1.2944816650069668</v>
      </c>
      <c r="F75">
        <v>84.166666666666671</v>
      </c>
      <c r="G75">
        <v>8</v>
      </c>
    </row>
    <row r="76" spans="1:7" x14ac:dyDescent="0.15">
      <c r="A76">
        <v>52</v>
      </c>
      <c r="B76">
        <v>6.4621403277482248</v>
      </c>
      <c r="C76">
        <v>0.2378596722517754</v>
      </c>
      <c r="D76">
        <v>0.21543824233462261</v>
      </c>
      <c r="F76">
        <v>85.833333333333329</v>
      </c>
      <c r="G76">
        <v>8</v>
      </c>
    </row>
    <row r="77" spans="1:7" x14ac:dyDescent="0.15">
      <c r="A77">
        <v>53</v>
      </c>
      <c r="B77">
        <v>6.5925283215550401</v>
      </c>
      <c r="C77">
        <v>0.40747167844495991</v>
      </c>
      <c r="D77">
        <v>0.36906206661379715</v>
      </c>
      <c r="F77">
        <v>87.5</v>
      </c>
      <c r="G77">
        <v>8</v>
      </c>
    </row>
    <row r="78" spans="1:7" x14ac:dyDescent="0.15">
      <c r="A78">
        <v>54</v>
      </c>
      <c r="B78">
        <v>6.4947373261999291</v>
      </c>
      <c r="C78">
        <v>-1.4947373261999291</v>
      </c>
      <c r="D78">
        <v>-1.3538385017515828</v>
      </c>
      <c r="F78">
        <v>89.166666666666671</v>
      </c>
      <c r="G78">
        <v>8</v>
      </c>
    </row>
    <row r="79" spans="1:7" x14ac:dyDescent="0.15">
      <c r="A79">
        <v>55</v>
      </c>
      <c r="B79">
        <v>6.5273343246516324</v>
      </c>
      <c r="C79">
        <v>0.47266567534836756</v>
      </c>
      <c r="D79">
        <v>0.42811066434654771</v>
      </c>
      <c r="F79">
        <v>90.833333333333329</v>
      </c>
      <c r="G79">
        <v>8</v>
      </c>
    </row>
    <row r="80" spans="1:7" x14ac:dyDescent="0.15">
      <c r="A80">
        <v>56</v>
      </c>
      <c r="B80">
        <v>6.4621403277482248</v>
      </c>
      <c r="C80">
        <v>0.53785967225177522</v>
      </c>
      <c r="D80">
        <v>0.48715926207929827</v>
      </c>
      <c r="F80">
        <v>92.5</v>
      </c>
      <c r="G80">
        <v>8</v>
      </c>
    </row>
    <row r="81" spans="1:7" x14ac:dyDescent="0.15">
      <c r="A81">
        <v>57</v>
      </c>
      <c r="B81">
        <v>6.5056029923504965</v>
      </c>
      <c r="C81">
        <v>-1.5056029923504965</v>
      </c>
      <c r="D81">
        <v>-1.363679934707041</v>
      </c>
      <c r="F81">
        <v>94.166666666666671</v>
      </c>
      <c r="G81">
        <v>8</v>
      </c>
    </row>
    <row r="82" spans="1:7" x14ac:dyDescent="0.15">
      <c r="A82">
        <v>58</v>
      </c>
      <c r="B82">
        <v>6.6251253200067444</v>
      </c>
      <c r="C82">
        <v>-0.62512532000674437</v>
      </c>
      <c r="D82">
        <v>-0.56619896473483122</v>
      </c>
      <c r="F82">
        <v>95.833333333333329</v>
      </c>
      <c r="G82">
        <v>8</v>
      </c>
    </row>
    <row r="83" spans="1:7" x14ac:dyDescent="0.15">
      <c r="A83">
        <v>59</v>
      </c>
      <c r="B83">
        <v>6.5273343246516324</v>
      </c>
      <c r="C83">
        <v>0.47266567534836756</v>
      </c>
      <c r="D83">
        <v>0.42811066434654771</v>
      </c>
      <c r="F83">
        <v>97.5</v>
      </c>
      <c r="G83">
        <v>8</v>
      </c>
    </row>
    <row r="84" spans="1:7" ht="14" thickBot="1" x14ac:dyDescent="0.2">
      <c r="A84" s="54">
        <v>60</v>
      </c>
      <c r="B84" s="54">
        <v>6.5056029923504965</v>
      </c>
      <c r="C84" s="54">
        <v>0.49439700764950345</v>
      </c>
      <c r="D84" s="54">
        <v>0.44779353025746454</v>
      </c>
      <c r="F84" s="54">
        <v>99.166666666666671</v>
      </c>
      <c r="G84" s="54">
        <v>9</v>
      </c>
    </row>
  </sheetData>
  <sortState xmlns:xlrd2="http://schemas.microsoft.com/office/spreadsheetml/2017/richdata2" ref="G25:G84">
    <sortCondition ref="G25"/>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9A9A-63E4-4D90-81F7-8B223A19E778}">
  <dimension ref="A1:E64"/>
  <sheetViews>
    <sheetView workbookViewId="0">
      <selection activeCell="E64" sqref="E64"/>
    </sheetView>
  </sheetViews>
  <sheetFormatPr baseColWidth="10" defaultColWidth="8.83203125" defaultRowHeight="13" x14ac:dyDescent="0.15"/>
  <cols>
    <col min="1" max="2" width="26.6640625" customWidth="1"/>
    <col min="4" max="4" width="13.5" customWidth="1"/>
    <col min="5" max="5" width="26.6640625" customWidth="1"/>
  </cols>
  <sheetData>
    <row r="1" spans="1:5" x14ac:dyDescent="0.15">
      <c r="A1" s="9" t="s">
        <v>2</v>
      </c>
      <c r="B1" s="9" t="s">
        <v>109</v>
      </c>
      <c r="D1" t="s">
        <v>110</v>
      </c>
      <c r="E1" t="s">
        <v>111</v>
      </c>
    </row>
    <row r="2" spans="1:5" x14ac:dyDescent="0.15">
      <c r="A2" s="11">
        <v>4</v>
      </c>
      <c r="B2" s="11">
        <v>0</v>
      </c>
      <c r="D2">
        <v>4</v>
      </c>
      <c r="E2">
        <f>AVERAGE(B2:B3)</f>
        <v>6</v>
      </c>
    </row>
    <row r="3" spans="1:5" x14ac:dyDescent="0.15">
      <c r="A3" s="10">
        <v>4</v>
      </c>
      <c r="B3" s="10">
        <v>12</v>
      </c>
      <c r="D3">
        <v>5</v>
      </c>
      <c r="E3">
        <f>AVERAGE(B4:B12)</f>
        <v>11.222222222222221</v>
      </c>
    </row>
    <row r="4" spans="1:5" x14ac:dyDescent="0.15">
      <c r="A4" s="10">
        <v>5</v>
      </c>
      <c r="B4" s="10">
        <v>5</v>
      </c>
      <c r="D4">
        <v>5.5</v>
      </c>
      <c r="E4">
        <f>AVERAGE(B13:B14)</f>
        <v>4</v>
      </c>
    </row>
    <row r="5" spans="1:5" x14ac:dyDescent="0.15">
      <c r="A5" s="10">
        <v>5</v>
      </c>
      <c r="B5" s="10">
        <v>24</v>
      </c>
      <c r="D5">
        <v>6</v>
      </c>
      <c r="E5">
        <f>AVERAGE(B15:B27)</f>
        <v>12.692307692307692</v>
      </c>
    </row>
    <row r="6" spans="1:5" x14ac:dyDescent="0.15">
      <c r="A6" s="10">
        <v>5</v>
      </c>
      <c r="B6" s="10">
        <v>0</v>
      </c>
      <c r="D6">
        <v>6.5</v>
      </c>
      <c r="E6">
        <f>AVERAGE(B28)</f>
        <v>16</v>
      </c>
    </row>
    <row r="7" spans="1:5" x14ac:dyDescent="0.15">
      <c r="A7" s="10">
        <v>5</v>
      </c>
      <c r="B7" s="10">
        <v>16</v>
      </c>
      <c r="D7">
        <v>6.7</v>
      </c>
      <c r="E7">
        <f>AVERAGE(B29)</f>
        <v>0</v>
      </c>
    </row>
    <row r="8" spans="1:5" x14ac:dyDescent="0.15">
      <c r="A8" s="10">
        <v>5</v>
      </c>
      <c r="B8" s="10">
        <v>10</v>
      </c>
      <c r="D8">
        <v>7</v>
      </c>
      <c r="E8">
        <f>AVERAGE(B30:B50)</f>
        <v>10.047619047619047</v>
      </c>
    </row>
    <row r="9" spans="1:5" x14ac:dyDescent="0.15">
      <c r="A9" s="11">
        <v>5</v>
      </c>
      <c r="B9" s="11">
        <v>16</v>
      </c>
      <c r="D9">
        <v>8</v>
      </c>
      <c r="E9">
        <f>AVERAGE(B51:B60)</f>
        <v>11.8</v>
      </c>
    </row>
    <row r="10" spans="1:5" x14ac:dyDescent="0.15">
      <c r="A10" s="11">
        <v>5</v>
      </c>
      <c r="B10" s="11">
        <v>16</v>
      </c>
      <c r="D10">
        <v>9</v>
      </c>
      <c r="E10">
        <f>AVERAGE(B61)</f>
        <v>8</v>
      </c>
    </row>
    <row r="11" spans="1:5" x14ac:dyDescent="0.15">
      <c r="A11" s="11">
        <v>5</v>
      </c>
      <c r="B11" s="11">
        <v>6</v>
      </c>
    </row>
    <row r="12" spans="1:5" x14ac:dyDescent="0.15">
      <c r="A12" s="10">
        <v>5</v>
      </c>
      <c r="B12" s="10">
        <v>8</v>
      </c>
    </row>
    <row r="13" spans="1:5" x14ac:dyDescent="0.15">
      <c r="A13" s="11">
        <v>5.5</v>
      </c>
      <c r="B13" s="11">
        <v>0</v>
      </c>
    </row>
    <row r="14" spans="1:5" x14ac:dyDescent="0.15">
      <c r="A14" s="11">
        <v>5.5</v>
      </c>
      <c r="B14" s="11">
        <v>8</v>
      </c>
    </row>
    <row r="15" spans="1:5" x14ac:dyDescent="0.15">
      <c r="A15" s="10">
        <v>6</v>
      </c>
      <c r="B15" s="10">
        <v>20</v>
      </c>
    </row>
    <row r="16" spans="1:5" x14ac:dyDescent="0.15">
      <c r="A16" s="10">
        <v>6</v>
      </c>
      <c r="B16" s="10">
        <v>8</v>
      </c>
    </row>
    <row r="17" spans="1:2" x14ac:dyDescent="0.15">
      <c r="A17" s="11">
        <v>6</v>
      </c>
      <c r="B17" s="11">
        <v>8</v>
      </c>
    </row>
    <row r="18" spans="1:2" x14ac:dyDescent="0.15">
      <c r="A18" s="11">
        <v>6</v>
      </c>
      <c r="B18" s="11">
        <v>8</v>
      </c>
    </row>
    <row r="19" spans="1:2" x14ac:dyDescent="0.15">
      <c r="A19" s="11">
        <v>6</v>
      </c>
      <c r="B19" s="11">
        <v>14</v>
      </c>
    </row>
    <row r="20" spans="1:2" x14ac:dyDescent="0.15">
      <c r="A20" s="10">
        <v>6</v>
      </c>
      <c r="B20" s="10">
        <v>30</v>
      </c>
    </row>
    <row r="21" spans="1:2" x14ac:dyDescent="0.15">
      <c r="A21" s="10">
        <v>6</v>
      </c>
      <c r="B21" s="10">
        <v>12</v>
      </c>
    </row>
    <row r="22" spans="1:2" x14ac:dyDescent="0.15">
      <c r="A22" s="10">
        <v>6</v>
      </c>
      <c r="B22" s="10">
        <v>10</v>
      </c>
    </row>
    <row r="23" spans="1:2" x14ac:dyDescent="0.15">
      <c r="A23" s="11">
        <v>6</v>
      </c>
      <c r="B23" s="11">
        <v>25</v>
      </c>
    </row>
    <row r="24" spans="1:2" x14ac:dyDescent="0.15">
      <c r="A24" s="11">
        <v>6</v>
      </c>
      <c r="B24" s="11">
        <v>0</v>
      </c>
    </row>
    <row r="25" spans="1:2" x14ac:dyDescent="0.15">
      <c r="A25" s="10">
        <v>6</v>
      </c>
      <c r="B25" s="10">
        <v>0</v>
      </c>
    </row>
    <row r="26" spans="1:2" x14ac:dyDescent="0.15">
      <c r="A26" s="11">
        <v>6</v>
      </c>
      <c r="B26" s="11">
        <v>0</v>
      </c>
    </row>
    <row r="27" spans="1:2" x14ac:dyDescent="0.15">
      <c r="A27" s="11">
        <v>6</v>
      </c>
      <c r="B27" s="11">
        <v>30</v>
      </c>
    </row>
    <row r="28" spans="1:2" x14ac:dyDescent="0.15">
      <c r="A28" s="11">
        <v>6.5</v>
      </c>
      <c r="B28" s="11">
        <v>16</v>
      </c>
    </row>
    <row r="29" spans="1:2" x14ac:dyDescent="0.15">
      <c r="A29" s="11">
        <v>6.7</v>
      </c>
      <c r="B29" s="11">
        <v>0</v>
      </c>
    </row>
    <row r="30" spans="1:2" x14ac:dyDescent="0.15">
      <c r="A30" s="32">
        <v>7</v>
      </c>
      <c r="B30" s="11">
        <v>0</v>
      </c>
    </row>
    <row r="31" spans="1:2" x14ac:dyDescent="0.15">
      <c r="A31" s="10">
        <v>7</v>
      </c>
      <c r="B31" s="10">
        <v>12</v>
      </c>
    </row>
    <row r="32" spans="1:2" x14ac:dyDescent="0.15">
      <c r="A32" s="11">
        <v>7</v>
      </c>
      <c r="B32" s="11">
        <v>17</v>
      </c>
    </row>
    <row r="33" spans="1:2" x14ac:dyDescent="0.15">
      <c r="A33" s="11">
        <v>7</v>
      </c>
      <c r="B33" s="11">
        <v>8</v>
      </c>
    </row>
    <row r="34" spans="1:2" x14ac:dyDescent="0.15">
      <c r="A34" s="10">
        <v>7</v>
      </c>
      <c r="B34" s="10">
        <v>8</v>
      </c>
    </row>
    <row r="35" spans="1:2" x14ac:dyDescent="0.15">
      <c r="A35" s="11">
        <v>7</v>
      </c>
      <c r="B35" s="11">
        <v>12</v>
      </c>
    </row>
    <row r="36" spans="1:2" x14ac:dyDescent="0.15">
      <c r="A36" s="10">
        <v>7</v>
      </c>
      <c r="B36" s="10">
        <v>0</v>
      </c>
    </row>
    <row r="37" spans="1:2" x14ac:dyDescent="0.15">
      <c r="A37" s="11">
        <v>7</v>
      </c>
      <c r="B37" s="11">
        <v>8</v>
      </c>
    </row>
    <row r="38" spans="1:2" x14ac:dyDescent="0.15">
      <c r="A38" s="11">
        <v>7</v>
      </c>
      <c r="B38" s="11">
        <v>12</v>
      </c>
    </row>
    <row r="39" spans="1:2" x14ac:dyDescent="0.15">
      <c r="A39" s="11">
        <v>7</v>
      </c>
      <c r="B39" s="11">
        <v>10</v>
      </c>
    </row>
    <row r="40" spans="1:2" x14ac:dyDescent="0.15">
      <c r="A40" s="10">
        <v>7</v>
      </c>
      <c r="B40" s="10">
        <v>16</v>
      </c>
    </row>
    <row r="41" spans="1:2" x14ac:dyDescent="0.15">
      <c r="A41" s="11">
        <v>7</v>
      </c>
      <c r="B41" s="11">
        <v>8</v>
      </c>
    </row>
    <row r="42" spans="1:2" x14ac:dyDescent="0.15">
      <c r="A42" s="10">
        <v>7</v>
      </c>
      <c r="B42" s="10">
        <v>8</v>
      </c>
    </row>
    <row r="43" spans="1:2" x14ac:dyDescent="0.15">
      <c r="A43" s="10">
        <v>7</v>
      </c>
      <c r="B43" s="10">
        <v>12</v>
      </c>
    </row>
    <row r="44" spans="1:2" x14ac:dyDescent="0.15">
      <c r="A44" s="10">
        <v>7</v>
      </c>
      <c r="B44" s="10">
        <v>8</v>
      </c>
    </row>
    <row r="45" spans="1:2" x14ac:dyDescent="0.15">
      <c r="A45" s="10">
        <v>7</v>
      </c>
      <c r="B45" s="10">
        <v>16</v>
      </c>
    </row>
    <row r="46" spans="1:2" x14ac:dyDescent="0.15">
      <c r="A46" s="10">
        <v>7</v>
      </c>
      <c r="B46" s="10">
        <v>24</v>
      </c>
    </row>
    <row r="47" spans="1:2" x14ac:dyDescent="0.15">
      <c r="A47" s="10">
        <v>7</v>
      </c>
      <c r="B47" s="10">
        <v>12</v>
      </c>
    </row>
    <row r="48" spans="1:2" x14ac:dyDescent="0.15">
      <c r="A48" s="11">
        <v>7</v>
      </c>
      <c r="B48" s="11">
        <v>0</v>
      </c>
    </row>
    <row r="49" spans="1:5" x14ac:dyDescent="0.15">
      <c r="A49" s="10">
        <v>7</v>
      </c>
      <c r="B49" s="10">
        <v>12</v>
      </c>
    </row>
    <row r="50" spans="1:5" x14ac:dyDescent="0.15">
      <c r="A50" s="11">
        <v>7</v>
      </c>
      <c r="B50" s="11">
        <v>8</v>
      </c>
    </row>
    <row r="51" spans="1:5" x14ac:dyDescent="0.15">
      <c r="A51" s="10">
        <v>8</v>
      </c>
      <c r="B51" s="10">
        <v>8</v>
      </c>
    </row>
    <row r="52" spans="1:5" x14ac:dyDescent="0.15">
      <c r="A52" s="10">
        <v>8</v>
      </c>
      <c r="B52" s="10">
        <v>10</v>
      </c>
    </row>
    <row r="53" spans="1:5" x14ac:dyDescent="0.15">
      <c r="A53" s="11">
        <v>8</v>
      </c>
      <c r="B53" s="11">
        <v>6</v>
      </c>
    </row>
    <row r="54" spans="1:5" x14ac:dyDescent="0.15">
      <c r="A54" s="11">
        <v>8</v>
      </c>
      <c r="B54" s="11">
        <v>16</v>
      </c>
    </row>
    <row r="55" spans="1:5" x14ac:dyDescent="0.15">
      <c r="A55" s="10">
        <v>8</v>
      </c>
      <c r="B55" s="10">
        <v>8</v>
      </c>
    </row>
    <row r="56" spans="1:5" x14ac:dyDescent="0.15">
      <c r="A56" s="11">
        <v>8</v>
      </c>
      <c r="B56" s="11">
        <v>10</v>
      </c>
    </row>
    <row r="57" spans="1:5" x14ac:dyDescent="0.15">
      <c r="A57" s="10">
        <v>8</v>
      </c>
      <c r="B57" s="10">
        <v>8</v>
      </c>
    </row>
    <row r="58" spans="1:5" x14ac:dyDescent="0.15">
      <c r="A58" s="11">
        <v>8</v>
      </c>
      <c r="B58" s="11">
        <v>8</v>
      </c>
    </row>
    <row r="59" spans="1:5" x14ac:dyDescent="0.15">
      <c r="A59" s="10">
        <v>8</v>
      </c>
      <c r="B59" s="10">
        <v>24</v>
      </c>
    </row>
    <row r="60" spans="1:5" x14ac:dyDescent="0.15">
      <c r="A60" s="10">
        <v>8</v>
      </c>
      <c r="B60" s="10">
        <v>20</v>
      </c>
    </row>
    <row r="61" spans="1:5" x14ac:dyDescent="0.15">
      <c r="A61" s="12">
        <v>9</v>
      </c>
      <c r="B61" s="12">
        <v>8</v>
      </c>
    </row>
    <row r="63" spans="1:5" x14ac:dyDescent="0.15">
      <c r="E63" s="62" t="s">
        <v>33</v>
      </c>
    </row>
    <row r="64" spans="1:5" ht="165" x14ac:dyDescent="0.15">
      <c r="E64" s="63" t="s">
        <v>112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4CF3C-DC4E-4501-B094-7F690602B53E}">
  <dimension ref="A1:D9"/>
  <sheetViews>
    <sheetView workbookViewId="0">
      <selection activeCell="A8" sqref="A8:A9"/>
    </sheetView>
  </sheetViews>
  <sheetFormatPr baseColWidth="10" defaultColWidth="8.83203125" defaultRowHeight="13" x14ac:dyDescent="0.15"/>
  <cols>
    <col min="1" max="1" width="33.5" bestFit="1" customWidth="1"/>
    <col min="2" max="2" width="15.6640625" bestFit="1" customWidth="1"/>
    <col min="3" max="3" width="4.33203125" bestFit="1" customWidth="1"/>
    <col min="4" max="4" width="10.5" bestFit="1" customWidth="1"/>
  </cols>
  <sheetData>
    <row r="1" spans="1:4" ht="34" x14ac:dyDescent="0.2">
      <c r="A1" s="31" t="s">
        <v>113</v>
      </c>
      <c r="B1" s="19" t="s">
        <v>114</v>
      </c>
      <c r="C1" s="17"/>
      <c r="D1" s="18"/>
    </row>
    <row r="2" spans="1:4" x14ac:dyDescent="0.15">
      <c r="A2" s="19" t="s">
        <v>115</v>
      </c>
      <c r="B2" s="16" t="s">
        <v>12</v>
      </c>
      <c r="C2" s="20" t="s">
        <v>11</v>
      </c>
      <c r="D2" s="21" t="s">
        <v>116</v>
      </c>
    </row>
    <row r="3" spans="1:4" x14ac:dyDescent="0.15">
      <c r="A3" s="22" t="s">
        <v>12</v>
      </c>
      <c r="B3" s="16">
        <v>2</v>
      </c>
      <c r="C3" s="20">
        <v>6</v>
      </c>
      <c r="D3" s="21">
        <v>8</v>
      </c>
    </row>
    <row r="4" spans="1:4" x14ac:dyDescent="0.15">
      <c r="A4" s="23" t="s">
        <v>11</v>
      </c>
      <c r="B4" s="25">
        <v>7</v>
      </c>
      <c r="C4" s="26">
        <v>45</v>
      </c>
      <c r="D4" s="27">
        <v>52</v>
      </c>
    </row>
    <row r="5" spans="1:4" x14ac:dyDescent="0.15">
      <c r="A5" s="24" t="s">
        <v>116</v>
      </c>
      <c r="B5" s="28">
        <v>9</v>
      </c>
      <c r="C5" s="29">
        <v>51</v>
      </c>
      <c r="D5" s="30">
        <v>60</v>
      </c>
    </row>
    <row r="8" spans="1:4" x14ac:dyDescent="0.15">
      <c r="A8" s="67" t="s">
        <v>89</v>
      </c>
    </row>
    <row r="9" spans="1:4" ht="150" x14ac:dyDescent="0.15">
      <c r="A9" s="63" t="s">
        <v>117</v>
      </c>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03213-DC8D-45A4-BEA7-82E0786F08B6}">
  <dimension ref="A1:A64"/>
  <sheetViews>
    <sheetView topLeftCell="A36" workbookViewId="0">
      <selection activeCell="A63" sqref="A63:A64"/>
    </sheetView>
  </sheetViews>
  <sheetFormatPr baseColWidth="10" defaultColWidth="8.83203125" defaultRowHeight="13" x14ac:dyDescent="0.15"/>
  <cols>
    <col min="1" max="1" width="26.6640625" customWidth="1"/>
  </cols>
  <sheetData>
    <row r="1" spans="1:1" x14ac:dyDescent="0.15">
      <c r="A1" s="9" t="s">
        <v>2</v>
      </c>
    </row>
    <row r="2" spans="1:1" x14ac:dyDescent="0.15">
      <c r="A2" s="10">
        <v>6</v>
      </c>
    </row>
    <row r="3" spans="1:1" x14ac:dyDescent="0.15">
      <c r="A3" s="32">
        <v>7</v>
      </c>
    </row>
    <row r="4" spans="1:1" x14ac:dyDescent="0.15">
      <c r="A4" s="10">
        <v>7</v>
      </c>
    </row>
    <row r="5" spans="1:1" x14ac:dyDescent="0.15">
      <c r="A5" s="11">
        <v>5.5</v>
      </c>
    </row>
    <row r="6" spans="1:1" x14ac:dyDescent="0.15">
      <c r="A6" s="10">
        <v>5</v>
      </c>
    </row>
    <row r="7" spans="1:1" x14ac:dyDescent="0.15">
      <c r="A7" s="11">
        <v>4</v>
      </c>
    </row>
    <row r="8" spans="1:1" x14ac:dyDescent="0.15">
      <c r="A8" s="10">
        <v>5</v>
      </c>
    </row>
    <row r="9" spans="1:1" x14ac:dyDescent="0.15">
      <c r="A9" s="11">
        <v>7</v>
      </c>
    </row>
    <row r="10" spans="1:1" x14ac:dyDescent="0.15">
      <c r="A10" s="10">
        <v>6</v>
      </c>
    </row>
    <row r="11" spans="1:1" x14ac:dyDescent="0.15">
      <c r="A11" s="11">
        <v>7</v>
      </c>
    </row>
    <row r="12" spans="1:1" x14ac:dyDescent="0.15">
      <c r="A12" s="10">
        <v>8</v>
      </c>
    </row>
    <row r="13" spans="1:1" x14ac:dyDescent="0.15">
      <c r="A13" s="11">
        <v>6</v>
      </c>
    </row>
    <row r="14" spans="1:1" x14ac:dyDescent="0.15">
      <c r="A14" s="10">
        <v>8</v>
      </c>
    </row>
    <row r="15" spans="1:1" x14ac:dyDescent="0.15">
      <c r="A15" s="11">
        <v>6</v>
      </c>
    </row>
    <row r="16" spans="1:1" x14ac:dyDescent="0.15">
      <c r="A16" s="10">
        <v>7</v>
      </c>
    </row>
    <row r="17" spans="1:1" x14ac:dyDescent="0.15">
      <c r="A17" s="11">
        <v>6</v>
      </c>
    </row>
    <row r="18" spans="1:1" x14ac:dyDescent="0.15">
      <c r="A18" s="10">
        <v>5</v>
      </c>
    </row>
    <row r="19" spans="1:1" x14ac:dyDescent="0.15">
      <c r="A19" s="11">
        <v>8</v>
      </c>
    </row>
    <row r="20" spans="1:1" x14ac:dyDescent="0.15">
      <c r="A20" s="10">
        <v>6</v>
      </c>
    </row>
    <row r="21" spans="1:1" x14ac:dyDescent="0.15">
      <c r="A21" s="11">
        <v>9</v>
      </c>
    </row>
    <row r="22" spans="1:1" x14ac:dyDescent="0.15">
      <c r="A22" s="10">
        <v>6</v>
      </c>
    </row>
    <row r="23" spans="1:1" x14ac:dyDescent="0.15">
      <c r="A23" s="11">
        <v>7</v>
      </c>
    </row>
    <row r="24" spans="1:1" x14ac:dyDescent="0.15">
      <c r="A24" s="10">
        <v>7</v>
      </c>
    </row>
    <row r="25" spans="1:1" x14ac:dyDescent="0.15">
      <c r="A25" s="11">
        <v>7</v>
      </c>
    </row>
    <row r="26" spans="1:1" x14ac:dyDescent="0.15">
      <c r="A26" s="10">
        <v>4</v>
      </c>
    </row>
    <row r="27" spans="1:1" x14ac:dyDescent="0.15">
      <c r="A27" s="11">
        <v>7</v>
      </c>
    </row>
    <row r="28" spans="1:1" x14ac:dyDescent="0.15">
      <c r="A28" s="10">
        <v>6</v>
      </c>
    </row>
    <row r="29" spans="1:1" x14ac:dyDescent="0.15">
      <c r="A29" s="11">
        <v>7</v>
      </c>
    </row>
    <row r="30" spans="1:1" x14ac:dyDescent="0.15">
      <c r="A30" s="10">
        <v>5</v>
      </c>
    </row>
    <row r="31" spans="1:1" x14ac:dyDescent="0.15">
      <c r="A31" s="11">
        <v>8</v>
      </c>
    </row>
    <row r="32" spans="1:1" x14ac:dyDescent="0.15">
      <c r="A32" s="10">
        <v>7</v>
      </c>
    </row>
    <row r="33" spans="1:1" x14ac:dyDescent="0.15">
      <c r="A33" s="11">
        <v>6</v>
      </c>
    </row>
    <row r="34" spans="1:1" x14ac:dyDescent="0.15">
      <c r="A34" s="10">
        <v>8</v>
      </c>
    </row>
    <row r="35" spans="1:1" x14ac:dyDescent="0.15">
      <c r="A35" s="11">
        <v>8</v>
      </c>
    </row>
    <row r="36" spans="1:1" x14ac:dyDescent="0.15">
      <c r="A36" s="10">
        <v>5</v>
      </c>
    </row>
    <row r="37" spans="1:1" x14ac:dyDescent="0.15">
      <c r="A37" s="11">
        <v>6</v>
      </c>
    </row>
    <row r="38" spans="1:1" x14ac:dyDescent="0.15">
      <c r="A38" s="10">
        <v>8</v>
      </c>
    </row>
    <row r="39" spans="1:1" x14ac:dyDescent="0.15">
      <c r="A39" s="11">
        <v>7</v>
      </c>
    </row>
    <row r="40" spans="1:1" x14ac:dyDescent="0.15">
      <c r="A40" s="10">
        <v>6</v>
      </c>
    </row>
    <row r="41" spans="1:1" x14ac:dyDescent="0.15">
      <c r="A41" s="11">
        <v>5</v>
      </c>
    </row>
    <row r="42" spans="1:1" x14ac:dyDescent="0.15">
      <c r="A42" s="10">
        <v>7</v>
      </c>
    </row>
    <row r="43" spans="1:1" x14ac:dyDescent="0.15">
      <c r="A43" s="11">
        <v>8</v>
      </c>
    </row>
    <row r="44" spans="1:1" x14ac:dyDescent="0.15">
      <c r="A44" s="10">
        <v>8</v>
      </c>
    </row>
    <row r="45" spans="1:1" x14ac:dyDescent="0.15">
      <c r="A45" s="11">
        <v>6</v>
      </c>
    </row>
    <row r="46" spans="1:1" x14ac:dyDescent="0.15">
      <c r="A46" s="10">
        <v>7</v>
      </c>
    </row>
    <row r="47" spans="1:1" x14ac:dyDescent="0.15">
      <c r="A47" s="11">
        <v>5</v>
      </c>
    </row>
    <row r="48" spans="1:1" x14ac:dyDescent="0.15">
      <c r="A48" s="10">
        <v>7</v>
      </c>
    </row>
    <row r="49" spans="1:1" x14ac:dyDescent="0.15">
      <c r="A49" s="11">
        <v>6.5</v>
      </c>
    </row>
    <row r="50" spans="1:1" x14ac:dyDescent="0.15">
      <c r="A50" s="10">
        <v>7</v>
      </c>
    </row>
    <row r="51" spans="1:1" x14ac:dyDescent="0.15">
      <c r="A51" s="11">
        <v>5.5</v>
      </c>
    </row>
    <row r="52" spans="1:1" x14ac:dyDescent="0.15">
      <c r="A52" s="10">
        <v>8</v>
      </c>
    </row>
    <row r="53" spans="1:1" x14ac:dyDescent="0.15">
      <c r="A53" s="11">
        <v>6.7</v>
      </c>
    </row>
    <row r="54" spans="1:1" x14ac:dyDescent="0.15">
      <c r="A54" s="10">
        <v>7</v>
      </c>
    </row>
    <row r="55" spans="1:1" x14ac:dyDescent="0.15">
      <c r="A55" s="11">
        <v>5</v>
      </c>
    </row>
    <row r="56" spans="1:1" x14ac:dyDescent="0.15">
      <c r="A56" s="10">
        <v>7</v>
      </c>
    </row>
    <row r="57" spans="1:1" x14ac:dyDescent="0.15">
      <c r="A57" s="11">
        <v>7</v>
      </c>
    </row>
    <row r="58" spans="1:1" x14ac:dyDescent="0.15">
      <c r="A58" s="10">
        <v>5</v>
      </c>
    </row>
    <row r="59" spans="1:1" x14ac:dyDescent="0.15">
      <c r="A59" s="11">
        <v>6</v>
      </c>
    </row>
    <row r="60" spans="1:1" x14ac:dyDescent="0.15">
      <c r="A60" s="10">
        <v>7</v>
      </c>
    </row>
    <row r="61" spans="1:1" x14ac:dyDescent="0.15">
      <c r="A61" s="12">
        <v>7</v>
      </c>
    </row>
    <row r="63" spans="1:1" x14ac:dyDescent="0.15">
      <c r="A63" s="62" t="s">
        <v>89</v>
      </c>
    </row>
    <row r="64" spans="1:1" ht="180" x14ac:dyDescent="0.15">
      <c r="A64" s="63" t="s">
        <v>118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0AB23-3639-40AE-882F-AD83CBCFAF92}">
  <dimension ref="A1:E64"/>
  <sheetViews>
    <sheetView tabSelected="1" workbookViewId="0">
      <selection activeCell="A63" sqref="A63:A64"/>
    </sheetView>
  </sheetViews>
  <sheetFormatPr baseColWidth="10" defaultColWidth="8.83203125" defaultRowHeight="13" x14ac:dyDescent="0.15"/>
  <cols>
    <col min="1" max="2" width="26.6640625" customWidth="1"/>
  </cols>
  <sheetData>
    <row r="1" spans="1:5" x14ac:dyDescent="0.15">
      <c r="A1" s="15" t="s">
        <v>0</v>
      </c>
      <c r="B1" s="9" t="s">
        <v>3</v>
      </c>
      <c r="D1" t="s">
        <v>119</v>
      </c>
      <c r="E1" t="s">
        <v>120</v>
      </c>
    </row>
    <row r="2" spans="1:5" x14ac:dyDescent="0.15">
      <c r="A2" s="14">
        <v>17</v>
      </c>
      <c r="B2" s="10">
        <v>8</v>
      </c>
      <c r="D2">
        <v>17</v>
      </c>
      <c r="E2">
        <f>AVERAGE(B2:B3)</f>
        <v>10</v>
      </c>
    </row>
    <row r="3" spans="1:5" x14ac:dyDescent="0.15">
      <c r="A3" s="14">
        <v>17</v>
      </c>
      <c r="B3" s="10">
        <v>12</v>
      </c>
      <c r="D3">
        <v>18</v>
      </c>
      <c r="E3">
        <f>AVERAGE(B4:B7)</f>
        <v>4.5</v>
      </c>
    </row>
    <row r="4" spans="1:5" x14ac:dyDescent="0.15">
      <c r="A4" s="13">
        <v>18</v>
      </c>
      <c r="B4" s="11">
        <v>8</v>
      </c>
      <c r="D4">
        <v>19</v>
      </c>
      <c r="E4">
        <f>AVERAGE(B8:B13)</f>
        <v>12.333333333333334</v>
      </c>
    </row>
    <row r="5" spans="1:5" x14ac:dyDescent="0.15">
      <c r="A5" s="14">
        <v>18</v>
      </c>
      <c r="B5" s="10">
        <v>10</v>
      </c>
      <c r="D5">
        <v>20</v>
      </c>
      <c r="E5">
        <f>AVERAGE(B14:B21)</f>
        <v>12.875</v>
      </c>
    </row>
    <row r="6" spans="1:5" x14ac:dyDescent="0.15">
      <c r="A6" s="13">
        <v>18</v>
      </c>
      <c r="B6" s="11">
        <v>0</v>
      </c>
      <c r="D6">
        <v>21</v>
      </c>
      <c r="E6">
        <f>AVERAGE(B22:B33)</f>
        <v>7.666666666666667</v>
      </c>
    </row>
    <row r="7" spans="1:5" x14ac:dyDescent="0.15">
      <c r="A7" s="13">
        <v>18</v>
      </c>
      <c r="B7" s="11">
        <v>0</v>
      </c>
      <c r="D7">
        <v>22</v>
      </c>
      <c r="E7">
        <f>AVERAGE(B34:B43)</f>
        <v>11.3</v>
      </c>
    </row>
    <row r="8" spans="1:5" x14ac:dyDescent="0.15">
      <c r="A8" s="13">
        <v>19</v>
      </c>
      <c r="B8" s="11">
        <v>6</v>
      </c>
      <c r="D8">
        <v>23</v>
      </c>
      <c r="E8">
        <f>AVERAGE(B44:B49)</f>
        <v>15.333333333333334</v>
      </c>
    </row>
    <row r="9" spans="1:5" x14ac:dyDescent="0.15">
      <c r="A9" s="14">
        <v>19</v>
      </c>
      <c r="B9" s="10">
        <v>16</v>
      </c>
      <c r="D9">
        <v>24</v>
      </c>
      <c r="E9">
        <f>AVERAGE(B50:B51)</f>
        <v>8</v>
      </c>
    </row>
    <row r="10" spans="1:5" x14ac:dyDescent="0.15">
      <c r="A10" s="13">
        <v>19</v>
      </c>
      <c r="B10" s="11">
        <v>16</v>
      </c>
      <c r="D10">
        <v>25</v>
      </c>
      <c r="E10">
        <f>AVERAGE(B52:B53)</f>
        <v>5.5</v>
      </c>
    </row>
    <row r="11" spans="1:5" x14ac:dyDescent="0.15">
      <c r="A11" s="14">
        <v>19</v>
      </c>
      <c r="B11" s="10">
        <v>16</v>
      </c>
      <c r="D11">
        <v>26</v>
      </c>
      <c r="E11">
        <f>AVERAGE(B54:B57)</f>
        <v>9.5</v>
      </c>
    </row>
    <row r="12" spans="1:5" x14ac:dyDescent="0.15">
      <c r="A12" s="13">
        <v>19</v>
      </c>
      <c r="B12" s="11">
        <v>0</v>
      </c>
      <c r="D12">
        <v>27</v>
      </c>
      <c r="E12">
        <f>AVERAGE(B58)</f>
        <v>14</v>
      </c>
    </row>
    <row r="13" spans="1:5" x14ac:dyDescent="0.15">
      <c r="A13" s="14">
        <v>19</v>
      </c>
      <c r="B13" s="10">
        <v>20</v>
      </c>
      <c r="D13">
        <v>28</v>
      </c>
      <c r="E13">
        <f>AVERAGE(B59:B60)</f>
        <v>12</v>
      </c>
    </row>
    <row r="14" spans="1:5" x14ac:dyDescent="0.15">
      <c r="A14" s="14">
        <v>20</v>
      </c>
      <c r="B14" s="10">
        <v>12</v>
      </c>
      <c r="D14">
        <v>42</v>
      </c>
      <c r="E14">
        <f>AVERAGE(B61)</f>
        <v>24</v>
      </c>
    </row>
    <row r="15" spans="1:5" x14ac:dyDescent="0.15">
      <c r="A15" s="13">
        <v>20</v>
      </c>
      <c r="B15" s="11">
        <v>12</v>
      </c>
    </row>
    <row r="16" spans="1:5" x14ac:dyDescent="0.15">
      <c r="A16" s="13">
        <v>20</v>
      </c>
      <c r="B16" s="11">
        <v>10</v>
      </c>
    </row>
    <row r="17" spans="1:2" x14ac:dyDescent="0.15">
      <c r="A17" s="13">
        <v>20</v>
      </c>
      <c r="B17" s="11">
        <v>25</v>
      </c>
    </row>
    <row r="18" spans="1:2" x14ac:dyDescent="0.15">
      <c r="A18" s="13">
        <v>20</v>
      </c>
      <c r="B18" s="11">
        <v>10</v>
      </c>
    </row>
    <row r="19" spans="1:2" x14ac:dyDescent="0.15">
      <c r="A19" s="14">
        <v>20</v>
      </c>
      <c r="B19" s="10">
        <v>10</v>
      </c>
    </row>
    <row r="20" spans="1:2" x14ac:dyDescent="0.15">
      <c r="A20" s="14">
        <v>20</v>
      </c>
      <c r="B20" s="10">
        <v>8</v>
      </c>
    </row>
    <row r="21" spans="1:2" x14ac:dyDescent="0.15">
      <c r="A21" s="14">
        <v>20</v>
      </c>
      <c r="B21" s="10">
        <v>16</v>
      </c>
    </row>
    <row r="22" spans="1:2" x14ac:dyDescent="0.15">
      <c r="A22" s="13">
        <v>21</v>
      </c>
      <c r="B22" s="11">
        <v>0</v>
      </c>
    </row>
    <row r="23" spans="1:2" x14ac:dyDescent="0.15">
      <c r="A23" s="14">
        <v>21</v>
      </c>
      <c r="B23" s="10">
        <v>8</v>
      </c>
    </row>
    <row r="24" spans="1:2" x14ac:dyDescent="0.15">
      <c r="A24" s="13">
        <v>21</v>
      </c>
      <c r="B24" s="11">
        <v>12</v>
      </c>
    </row>
    <row r="25" spans="1:2" x14ac:dyDescent="0.15">
      <c r="A25" s="14">
        <v>21</v>
      </c>
      <c r="B25" s="10">
        <v>0</v>
      </c>
    </row>
    <row r="26" spans="1:2" x14ac:dyDescent="0.15">
      <c r="A26" s="14">
        <v>21</v>
      </c>
      <c r="B26" s="10">
        <v>8</v>
      </c>
    </row>
    <row r="27" spans="1:2" x14ac:dyDescent="0.15">
      <c r="A27" s="14">
        <v>21</v>
      </c>
      <c r="B27" s="10">
        <v>0</v>
      </c>
    </row>
    <row r="28" spans="1:2" x14ac:dyDescent="0.15">
      <c r="A28" s="13">
        <v>21</v>
      </c>
      <c r="B28" s="11">
        <v>16</v>
      </c>
    </row>
    <row r="29" spans="1:2" x14ac:dyDescent="0.15">
      <c r="A29" s="13">
        <v>21</v>
      </c>
      <c r="B29" s="11">
        <v>8</v>
      </c>
    </row>
    <row r="30" spans="1:2" x14ac:dyDescent="0.15">
      <c r="A30" s="14">
        <v>21</v>
      </c>
      <c r="B30" s="10">
        <v>12</v>
      </c>
    </row>
    <row r="31" spans="1:2" x14ac:dyDescent="0.15">
      <c r="A31" s="14">
        <v>21</v>
      </c>
      <c r="B31" s="10">
        <v>8</v>
      </c>
    </row>
    <row r="32" spans="1:2" x14ac:dyDescent="0.15">
      <c r="A32" s="14">
        <v>21</v>
      </c>
      <c r="B32" s="10">
        <v>12</v>
      </c>
    </row>
    <row r="33" spans="1:2" x14ac:dyDescent="0.15">
      <c r="A33" s="13">
        <v>21</v>
      </c>
      <c r="B33" s="11">
        <v>8</v>
      </c>
    </row>
    <row r="34" spans="1:2" x14ac:dyDescent="0.15">
      <c r="A34" s="14">
        <v>22</v>
      </c>
      <c r="B34" s="10">
        <v>20</v>
      </c>
    </row>
    <row r="35" spans="1:2" x14ac:dyDescent="0.15">
      <c r="A35" s="14">
        <v>22</v>
      </c>
      <c r="B35" s="10">
        <v>12</v>
      </c>
    </row>
    <row r="36" spans="1:2" x14ac:dyDescent="0.15">
      <c r="A36" s="13">
        <v>22</v>
      </c>
      <c r="B36" s="11">
        <v>0</v>
      </c>
    </row>
    <row r="37" spans="1:2" x14ac:dyDescent="0.15">
      <c r="A37" s="13">
        <v>22</v>
      </c>
      <c r="B37" s="11">
        <v>17</v>
      </c>
    </row>
    <row r="38" spans="1:2" x14ac:dyDescent="0.15">
      <c r="A38" s="13">
        <v>22</v>
      </c>
      <c r="B38" s="11">
        <v>8</v>
      </c>
    </row>
    <row r="39" spans="1:2" x14ac:dyDescent="0.15">
      <c r="A39" s="13">
        <v>22</v>
      </c>
      <c r="B39" s="11">
        <v>8</v>
      </c>
    </row>
    <row r="40" spans="1:2" x14ac:dyDescent="0.15">
      <c r="A40" s="14">
        <v>22</v>
      </c>
      <c r="B40" s="10">
        <v>10</v>
      </c>
    </row>
    <row r="41" spans="1:2" x14ac:dyDescent="0.15">
      <c r="A41" s="13">
        <v>22</v>
      </c>
      <c r="B41" s="11">
        <v>8</v>
      </c>
    </row>
    <row r="42" spans="1:2" x14ac:dyDescent="0.15">
      <c r="A42" s="13">
        <v>22</v>
      </c>
      <c r="B42" s="11">
        <v>0</v>
      </c>
    </row>
    <row r="43" spans="1:2" x14ac:dyDescent="0.15">
      <c r="A43" s="13">
        <v>22</v>
      </c>
      <c r="B43" s="11">
        <v>30</v>
      </c>
    </row>
    <row r="44" spans="1:2" x14ac:dyDescent="0.15">
      <c r="A44" s="14">
        <v>23</v>
      </c>
      <c r="B44" s="10">
        <v>24</v>
      </c>
    </row>
    <row r="45" spans="1:2" x14ac:dyDescent="0.15">
      <c r="A45" s="14">
        <v>23</v>
      </c>
      <c r="B45" s="10">
        <v>8</v>
      </c>
    </row>
    <row r="46" spans="1:2" x14ac:dyDescent="0.15">
      <c r="A46" s="14">
        <v>23</v>
      </c>
      <c r="B46" s="10">
        <v>12</v>
      </c>
    </row>
    <row r="47" spans="1:2" x14ac:dyDescent="0.15">
      <c r="A47" s="13">
        <v>23</v>
      </c>
      <c r="B47" s="11">
        <v>16</v>
      </c>
    </row>
    <row r="48" spans="1:2" x14ac:dyDescent="0.15">
      <c r="A48" s="14">
        <v>23</v>
      </c>
      <c r="B48" s="10">
        <v>8</v>
      </c>
    </row>
    <row r="49" spans="1:2" x14ac:dyDescent="0.15">
      <c r="A49" s="14">
        <v>23</v>
      </c>
      <c r="B49" s="10">
        <v>24</v>
      </c>
    </row>
    <row r="50" spans="1:2" x14ac:dyDescent="0.15">
      <c r="A50" s="13">
        <v>24</v>
      </c>
      <c r="B50" s="11">
        <v>8</v>
      </c>
    </row>
    <row r="51" spans="1:2" x14ac:dyDescent="0.15">
      <c r="A51" s="13">
        <v>24</v>
      </c>
      <c r="B51" s="11">
        <v>8</v>
      </c>
    </row>
    <row r="52" spans="1:2" x14ac:dyDescent="0.15">
      <c r="A52" s="14">
        <v>25</v>
      </c>
      <c r="B52" s="10">
        <v>5</v>
      </c>
    </row>
    <row r="53" spans="1:2" x14ac:dyDescent="0.15">
      <c r="A53" s="13">
        <v>25</v>
      </c>
      <c r="B53" s="11">
        <v>6</v>
      </c>
    </row>
    <row r="54" spans="1:2" x14ac:dyDescent="0.15">
      <c r="A54" s="13">
        <v>26</v>
      </c>
      <c r="B54" s="11">
        <v>0</v>
      </c>
    </row>
    <row r="55" spans="1:2" x14ac:dyDescent="0.15">
      <c r="A55" s="14">
        <v>26</v>
      </c>
      <c r="B55" s="10">
        <v>8</v>
      </c>
    </row>
    <row r="56" spans="1:2" x14ac:dyDescent="0.15">
      <c r="A56" s="14">
        <v>26</v>
      </c>
      <c r="B56" s="10">
        <v>0</v>
      </c>
    </row>
    <row r="57" spans="1:2" x14ac:dyDescent="0.15">
      <c r="A57" s="14">
        <v>26</v>
      </c>
      <c r="B57" s="10">
        <v>30</v>
      </c>
    </row>
    <row r="58" spans="1:2" x14ac:dyDescent="0.15">
      <c r="A58" s="13">
        <v>27</v>
      </c>
      <c r="B58" s="11">
        <v>14</v>
      </c>
    </row>
    <row r="59" spans="1:2" x14ac:dyDescent="0.15">
      <c r="A59" s="13">
        <v>28</v>
      </c>
      <c r="B59" s="11">
        <v>8</v>
      </c>
    </row>
    <row r="60" spans="1:2" x14ac:dyDescent="0.15">
      <c r="A60" s="13">
        <v>28</v>
      </c>
      <c r="B60" s="11">
        <v>16</v>
      </c>
    </row>
    <row r="61" spans="1:2" x14ac:dyDescent="0.15">
      <c r="A61" s="33">
        <v>42</v>
      </c>
      <c r="B61" s="34">
        <v>24</v>
      </c>
    </row>
    <row r="63" spans="1:2" x14ac:dyDescent="0.15">
      <c r="A63" s="62" t="s">
        <v>121</v>
      </c>
    </row>
    <row r="64" spans="1:2" ht="165" x14ac:dyDescent="0.15">
      <c r="A64" s="63" t="s">
        <v>122</v>
      </c>
    </row>
  </sheetData>
  <sortState xmlns:xlrd2="http://schemas.microsoft.com/office/spreadsheetml/2017/richdata2" ref="A2:B61">
    <sortCondition ref="A2"/>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Form Responses 1</vt:lpstr>
      <vt:lpstr>DESCRIPTIVE ANALYSIS</vt:lpstr>
      <vt:lpstr>PROBABILITY</vt:lpstr>
      <vt:lpstr>DISTRIBUTIONS</vt:lpstr>
      <vt:lpstr>HYPOTHESIS</vt:lpstr>
      <vt:lpstr>CORREALATION</vt:lpstr>
      <vt:lpstr>REGRESSION SUMMARY</vt:lpstr>
      <vt:lpstr>SCATTER CHART</vt:lpstr>
      <vt:lpstr>PIVOT TABLE</vt:lpstr>
      <vt:lpstr>HISTOGRAM</vt:lpstr>
      <vt:lpstr>BAR 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Amira Abdallah</dc:creator>
  <cp:keywords/>
  <dc:description/>
  <cp:lastModifiedBy>Waseem Kamache</cp:lastModifiedBy>
  <cp:revision/>
  <dcterms:created xsi:type="dcterms:W3CDTF">2025-11-13T05:51:33Z</dcterms:created>
  <dcterms:modified xsi:type="dcterms:W3CDTF">2026-09-15T10:24:06Z</dcterms:modified>
  <cp:category/>
  <cp:contentStatus/>
</cp:coreProperties>
</file>